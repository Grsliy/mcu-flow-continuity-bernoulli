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" sheetId="1" state="visible" r:id="rId1"/>
    <sheet xmlns:r="http://schemas.openxmlformats.org/officeDocument/2006/relationships" name="Keuangan" sheetId="2" state="visible" r:id="rId2"/>
    <sheet xmlns:r="http://schemas.openxmlformats.org/officeDocument/2006/relationships" name="Ringkasan" sheetId="3" state="visible" r:id="rId3"/>
    <sheet xmlns:r="http://schemas.openxmlformats.org/officeDocument/2006/relationships" name="Petunjuk" sheetId="4" state="visible" r:id="rId4"/>
  </sheets>
  <definedNames>
    <definedName name="_xlnm._FilterDatabase" localSheetId="0" hidden="1">'RAB'!$A$5:$P$102</definedName>
    <definedName name="_xlnm.Print_Titles" localSheetId="0">'RAB'!$5:$5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;[Red]-&quot;Rp&quot;#,##0;&quot;-&quot;"/>
    <numFmt numFmtId="165" formatCode="dd-mm-yyyy"/>
  </numFmts>
  <fonts count="10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95959"/>
      <sz val="10"/>
    </font>
    <font>
      <b val="1"/>
      <color rgb="00FFFFFF"/>
    </font>
    <font>
      <b val="1"/>
      <color rgb="001F3A5F"/>
    </font>
    <font>
      <i val="1"/>
      <color rgb="007F7F7F"/>
    </font>
    <font>
      <b val="1"/>
    </font>
    <font>
      <b val="1"/>
      <color rgb="001F3A5F"/>
      <sz val="12"/>
    </font>
    <font>
      <color rgb="000563C1"/>
      <u val="single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5" borderId="1" pivotButton="0" quotePrefix="0" xfId="0"/>
    <xf numFmtId="164" fontId="6" fillId="5" borderId="1" pivotButton="0" quotePrefix="0" xfId="0"/>
    <xf numFmtId="16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9" fontId="0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164" fontId="6" fillId="7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6" fillId="5" borderId="0" pivotButton="0" quotePrefix="0" xfId="0"/>
    <xf numFmtId="0" fontId="0" fillId="5" borderId="0" pivotButton="0" quotePrefix="0" xfId="0"/>
    <xf numFmtId="0" fontId="6" fillId="7" borderId="0" pivotButton="0" quotePrefix="0" xfId="0"/>
    <xf numFmtId="0" fontId="0" fillId="7" borderId="0" pivotButton="0" quotePrefix="0" xfId="0"/>
    <xf numFmtId="164" fontId="6" fillId="7" borderId="1" pivotButton="0" quotePrefix="0" xfId="0"/>
    <xf numFmtId="0" fontId="9" fillId="0" borderId="0" pivotButton="0" quotePrefix="0" xfId="0"/>
    <xf numFmtId="165" fontId="0" fillId="4" borderId="1" applyAlignment="1" pivotButton="0" quotePrefix="0" xfId="0">
      <alignment vertical="top" wrapText="1"/>
    </xf>
    <xf numFmtId="0" fontId="0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nota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2" customWidth="1" min="3" max="3"/>
    <col width="32" customWidth="1" min="4" max="4"/>
    <col width="9" customWidth="1" min="5" max="5"/>
    <col width="8" customWidth="1" min="6" max="6"/>
    <col width="8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5" customWidth="1" min="13" max="13"/>
    <col width="24" customWidth="1" min="14" max="14"/>
    <col width="11" customWidth="1" min="15" max="15"/>
    <col width="40" customWidth="1" min="16" max="16"/>
  </cols>
  <sheetData>
    <row r="1">
      <c r="A1" s="1" t="inlineStr">
        <is>
          <t>RENCANA ANGGARAN BIAYA — Alat Praktikum Fluida Dinamis (Debit, Kontinuitas, Bernoulli)</t>
        </is>
      </c>
    </row>
    <row r="2">
      <c r="A2" s="2" t="inlineStr">
        <is>
          <t>Desain: Rev. 08 — satu tangki, pompa langsung, leher angsa, tanpa servo. Paket inti = zona A + B.</t>
        </is>
      </c>
    </row>
    <row r="3">
      <c r="A3" s="2" t="inlineStr">
        <is>
          <t>Harga perkiraan = kisaran marketplace Indonesia, belum diverifikasi. Kolom kuning diisi setelah riset; total, subtotal, dan ringkasan terhitung otomatis. Total Dipakai memakai harga online bila sudah diisi.</t>
        </is>
      </c>
    </row>
    <row r="5" ht="32" customHeight="1">
      <c r="A5" s="3" t="inlineStr">
        <is>
          <t>No</t>
        </is>
      </c>
      <c r="B5" s="3" t="inlineStr">
        <is>
          <t>Nama Barang</t>
        </is>
      </c>
      <c r="C5" s="3" t="inlineStr">
        <is>
          <t>Spesifikasi</t>
        </is>
      </c>
      <c r="D5" s="3" t="inlineStr">
        <is>
          <t>Fungsi</t>
        </is>
      </c>
      <c r="E5" s="3" t="inlineStr">
        <is>
          <t>Paket</t>
        </is>
      </c>
      <c r="F5" s="3" t="inlineStr">
        <is>
          <t>Satuan</t>
        </is>
      </c>
      <c r="G5" s="3" t="inlineStr">
        <is>
          <t>Jumlah</t>
        </is>
      </c>
      <c r="H5" s="3" t="inlineStr">
        <is>
          <t>Harga Perkiraan
(Rp/satuan)</t>
        </is>
      </c>
      <c r="I5" s="3" t="inlineStr">
        <is>
          <t>Total Perkiraan
(Rp)</t>
        </is>
      </c>
      <c r="J5" s="3" t="inlineStr">
        <is>
          <t>Harga Online Shop
(Rp/satuan)</t>
        </is>
      </c>
      <c r="K5" s="3" t="inlineStr">
        <is>
          <t>Total Online
(Rp)</t>
        </is>
      </c>
      <c r="L5" s="3" t="inlineStr">
        <is>
          <t>Total Dipakai
(Rp)</t>
        </is>
      </c>
      <c r="M5" s="3" t="inlineStr">
        <is>
          <t>Selisih
(Online − Perkiraan)</t>
        </is>
      </c>
      <c r="N5" s="3" t="inlineStr">
        <is>
          <t>Toko / Link</t>
        </is>
      </c>
      <c r="O5" s="3" t="inlineStr">
        <is>
          <t>Status</t>
        </is>
      </c>
      <c r="P5" s="3" t="inlineStr">
        <is>
          <t>Catatan</t>
        </is>
      </c>
    </row>
    <row r="6">
      <c r="A6" s="4" t="inlineStr">
        <is>
          <t>A. ELEKTRONIK</t>
        </is>
      </c>
    </row>
    <row r="7">
      <c r="A7" s="5" t="n">
        <v>1</v>
      </c>
      <c r="B7" s="6" t="inlineStr">
        <is>
          <t>ESP32-C3 Super Mini</t>
        </is>
      </c>
      <c r="C7" s="6" t="inlineStr">
        <is>
          <t>RISC-V 160 MHz, WiFi/BLE, USB-C, logika 3,3 V</t>
        </is>
      </c>
      <c r="D7" s="6" t="inlineStr">
        <is>
          <t>Otak alat: baca S1, kontrol PI pompa, layar, tombol, log data</t>
        </is>
      </c>
      <c r="E7" s="5" t="inlineStr">
        <is>
          <t>Inti</t>
        </is>
      </c>
      <c r="F7" s="5" t="inlineStr">
        <is>
          <t>pcs</t>
        </is>
      </c>
      <c r="G7" s="7" t="n">
        <v>2</v>
      </c>
      <c r="H7" s="8" t="n">
        <v>40000</v>
      </c>
      <c r="I7" s="8">
        <f>G7*H7</f>
        <v/>
      </c>
      <c r="J7" s="9" t="n"/>
      <c r="K7" s="8">
        <f>IF(J7="","",G7*J7)</f>
        <v/>
      </c>
      <c r="L7" s="8">
        <f>IF(J7="",I7,K7)</f>
        <v/>
      </c>
      <c r="M7" s="8">
        <f>IF(J7="","",K7-I7)</f>
        <v/>
      </c>
      <c r="N7" s="10" t="n"/>
      <c r="O7" s="7" t="inlineStr">
        <is>
          <t>Belum</t>
        </is>
      </c>
      <c r="P7" s="6" t="inlineStr">
        <is>
          <t>1 cadangan. Pin tidak tahan 5 V; jangan pakai GPIO 2/8/9 untuk kendali pompa</t>
        </is>
      </c>
    </row>
    <row r="8">
      <c r="A8" s="5" t="n">
        <v>2</v>
      </c>
      <c r="B8" s="6" t="inlineStr">
        <is>
          <t>LCD 20×4 + modul I2C</t>
        </is>
      </c>
      <c r="C8" s="6" t="inlineStr">
        <is>
          <t>20×4 karakter, backlight</t>
        </is>
      </c>
      <c r="D8" s="6" t="inlineStr">
        <is>
          <t>Tampil debit, kecepatan, prediksi, pesan error</t>
        </is>
      </c>
      <c r="E8" s="5" t="inlineStr">
        <is>
          <t>Inti</t>
        </is>
      </c>
      <c r="F8" s="5" t="inlineStr">
        <is>
          <t>pcs</t>
        </is>
      </c>
      <c r="G8" s="7" t="n">
        <v>1</v>
      </c>
      <c r="H8" s="8" t="n">
        <v>75000</v>
      </c>
      <c r="I8" s="8">
        <f>G8*H8</f>
        <v/>
      </c>
      <c r="J8" s="9" t="n">
        <v>150000</v>
      </c>
      <c r="K8" s="8">
        <f>IF(J8="","",G8*J8)</f>
        <v/>
      </c>
      <c r="L8" s="8">
        <f>IF(J8="",I8,K8)</f>
        <v/>
      </c>
      <c r="M8" s="8">
        <f>IF(J8="","",K8-I8)</f>
        <v/>
      </c>
      <c r="N8" s="10" t="n"/>
      <c r="O8" s="7" t="inlineStr">
        <is>
          <t>Belum</t>
        </is>
      </c>
      <c r="P8" s="6" t="inlineStr"/>
    </row>
    <row r="9">
      <c r="A9" s="5" t="n">
        <v>3</v>
      </c>
      <c r="B9" s="6" t="inlineStr">
        <is>
          <t>Sensor flow YF-S201 (S1)</t>
        </is>
      </c>
      <c r="C9" s="6" t="inlineStr">
        <is>
          <t>Ulir G1/2", 1–30 L/min, hall-effect</t>
        </is>
      </c>
      <c r="D9" s="6" t="inlineStr">
        <is>
          <t>Debit utama</t>
        </is>
      </c>
      <c r="E9" s="5" t="inlineStr">
        <is>
          <t>Inti</t>
        </is>
      </c>
      <c r="F9" s="5" t="inlineStr">
        <is>
          <t>pcs</t>
        </is>
      </c>
      <c r="G9" s="7" t="n">
        <v>1</v>
      </c>
      <c r="H9" s="8" t="n">
        <v>35000</v>
      </c>
      <c r="I9" s="8">
        <f>G9*H9</f>
        <v/>
      </c>
      <c r="J9" s="9" t="n">
        <v>29189</v>
      </c>
      <c r="K9" s="8">
        <f>IF(J9="","",G9*J9)</f>
        <v/>
      </c>
      <c r="L9" s="8">
        <f>IF(J9="",I9,K9)</f>
        <v/>
      </c>
      <c r="M9" s="8">
        <f>IF(J9="","",K9-I9)</f>
        <v/>
      </c>
      <c r="N9" s="10" t="n"/>
      <c r="O9" s="7" t="inlineStr">
        <is>
          <t>Diterima</t>
        </is>
      </c>
      <c r="P9" s="6" t="inlineStr">
        <is>
          <t>Wajib dikalibrasi volumetrik</t>
        </is>
      </c>
    </row>
    <row r="10">
      <c r="A10" s="5" t="n">
        <v>4</v>
      </c>
      <c r="B10" s="6" t="inlineStr">
        <is>
          <t>Sensor flow YF-S201 (cadangan)</t>
        </is>
      </c>
      <c r="C10" s="6" t="inlineStr">
        <is>
          <t>Sama dengan S1</t>
        </is>
      </c>
      <c r="D10" s="6" t="inlineStr">
        <is>
          <t>Suku cadang bila S1 rusak saat pengambilan data</t>
        </is>
      </c>
      <c r="E10" s="5" t="inlineStr">
        <is>
          <t>Inti</t>
        </is>
      </c>
      <c r="F10" s="5" t="inlineStr">
        <is>
          <t>pcs</t>
        </is>
      </c>
      <c r="G10" s="7" t="n">
        <v>1</v>
      </c>
      <c r="H10" s="8" t="n">
        <v>35000</v>
      </c>
      <c r="I10" s="8">
        <f>G10*H10</f>
        <v/>
      </c>
      <c r="J10" s="9" t="n"/>
      <c r="K10" s="8">
        <f>IF(J10="","",G10*J10)</f>
        <v/>
      </c>
      <c r="L10" s="8">
        <f>IF(J10="",I10,K10)</f>
        <v/>
      </c>
      <c r="M10" s="8">
        <f>IF(J10="","",K10-I10)</f>
        <v/>
      </c>
      <c r="N10" s="10" t="n"/>
      <c r="O10" s="7" t="inlineStr">
        <is>
          <t>Belum</t>
        </is>
      </c>
      <c r="P10" s="6" t="inlineStr">
        <is>
          <t>Bisa dicoret kalau budget ketat</t>
        </is>
      </c>
    </row>
    <row r="11">
      <c r="A11" s="5" t="n">
        <v>5</v>
      </c>
      <c r="B11" s="6" t="inlineStr">
        <is>
          <t>Pompa celup DC 12 V</t>
        </is>
      </c>
      <c r="C11" s="6" t="inlineStr">
        <is>
          <t>MAXPUMP brushless 12 V, 19 W, 800 L/jam, head maks 5 m, outlet 1/2"</t>
        </is>
      </c>
      <c r="D11" s="6" t="inlineStr">
        <is>
          <t>Mendorong aliran</t>
        </is>
      </c>
      <c r="E11" s="5" t="inlineStr">
        <is>
          <t>Inti</t>
        </is>
      </c>
      <c r="F11" s="5" t="inlineStr">
        <is>
          <t>pcs</t>
        </is>
      </c>
      <c r="G11" s="7" t="n">
        <v>1</v>
      </c>
      <c r="H11" s="8" t="n">
        <v>120000</v>
      </c>
      <c r="I11" s="8">
        <f>G11*H11</f>
        <v/>
      </c>
      <c r="J11" s="9" t="n"/>
      <c r="K11" s="8">
        <f>IF(J11="","",G11*J11)</f>
        <v/>
      </c>
      <c r="L11" s="8">
        <f>IF(J11="",I11,K11)</f>
        <v/>
      </c>
      <c r="M11" s="8">
        <f>IF(J11="","",K11-I11)</f>
        <v/>
      </c>
      <c r="N11" s="10" t="inlineStr">
        <is>
          <t>https://shopee.co.id/MAXPUMP-Pompa-Celup-Air-Bersih-DC-12V-24V-Submersible-Pump-Pompa-Kolam-Ikan-Brushless-5m-Aquarium-Hidroponik-i.17799491.12107841427?extraParams=%7B%22display_model_id%22%3A227492409707%2C%22model_selection_logic%22%3A3%7D</t>
        </is>
      </c>
      <c r="O11" s="7" t="inlineStr">
        <is>
          <t>Belum</t>
        </is>
      </c>
      <c r="P11" s="6" t="inlineStr">
        <is>
          <t>Tanya penjual: tegangan minimum &amp; bisa diatur kecepatannya? Uji ember: 4–6 L/min stabil</t>
        </is>
      </c>
    </row>
    <row r="12">
      <c r="A12" s="5" t="n">
        <v>6</v>
      </c>
      <c r="B12" s="6" t="inlineStr">
        <is>
          <t>MOSFET gate 3,3 V</t>
        </is>
      </c>
      <c r="C12" s="6" t="inlineStr">
        <is>
          <t>AO3400 / IRLML6244 (atau modul + transistor pendorong), ≥ 3 A</t>
        </is>
      </c>
      <c r="D12" s="6" t="inlineStr">
        <is>
          <t>Saklar PWM pompa / kendali buck</t>
        </is>
      </c>
      <c r="E12" s="5" t="inlineStr">
        <is>
          <t>Inti</t>
        </is>
      </c>
      <c r="F12" s="5" t="inlineStr">
        <is>
          <t>pcs</t>
        </is>
      </c>
      <c r="G12" s="7" t="n">
        <v>2</v>
      </c>
      <c r="H12" s="8" t="n">
        <v>7500</v>
      </c>
      <c r="I12" s="8">
        <f>G12*H12</f>
        <v/>
      </c>
      <c r="J12" s="9" t="n"/>
      <c r="K12" s="8">
        <f>IF(J12="","",G12*J12)</f>
        <v/>
      </c>
      <c r="L12" s="8">
        <f>IF(J12="",I12,K12)</f>
        <v/>
      </c>
      <c r="M12" s="8">
        <f>IF(J12="","",K12-I12)</f>
        <v/>
      </c>
      <c r="N12" s="10" t="n"/>
      <c r="O12" s="7" t="inlineStr">
        <is>
          <t>Belum</t>
        </is>
      </c>
      <c r="P12" s="6" t="inlineStr">
        <is>
          <t>Pull-down 10 kΩ di gate → pompa mati saat reset/upload</t>
        </is>
      </c>
    </row>
    <row r="13">
      <c r="A13" s="5" t="n">
        <v>7</v>
      </c>
      <c r="B13" s="6" t="inlineStr">
        <is>
          <t>Modul buck DC-DC 5 A (pompa)</t>
        </is>
      </c>
      <c r="C13" s="6" t="inlineStr">
        <is>
          <t>XL4015 / setara, tegangan keluaran bisa diatur</t>
        </is>
      </c>
      <c r="D13" s="6" t="inlineStr">
        <is>
          <t>Atur kecepatan pompa lewat tegangan (pompa brushless tanpa kabel PWM)</t>
        </is>
      </c>
      <c r="E13" s="5" t="inlineStr">
        <is>
          <t>Inti</t>
        </is>
      </c>
      <c r="F13" s="5" t="inlineStr">
        <is>
          <t>pcs</t>
        </is>
      </c>
      <c r="G13" s="7" t="n">
        <v>1</v>
      </c>
      <c r="H13" s="8" t="n">
        <v>30000</v>
      </c>
      <c r="I13" s="8">
        <f>G13*H13</f>
        <v/>
      </c>
      <c r="J13" s="9" t="n"/>
      <c r="K13" s="8">
        <f>IF(J13="","",G13*J13)</f>
        <v/>
      </c>
      <c r="L13" s="8">
        <f>IF(J13="",I13,K13)</f>
        <v/>
      </c>
      <c r="M13" s="8">
        <f>IF(J13="","",K13-I13)</f>
        <v/>
      </c>
      <c r="N13" s="10" t="n"/>
      <c r="O13" s="7" t="inlineStr">
        <is>
          <t>Belum</t>
        </is>
      </c>
      <c r="P13" s="6" t="inlineStr">
        <is>
          <t>Cara kendali dari MCU ditentukan saat uji bangku</t>
        </is>
      </c>
    </row>
    <row r="14">
      <c r="A14" s="5" t="n">
        <v>8</v>
      </c>
      <c r="B14" s="6" t="inlineStr">
        <is>
          <t>Level shifter 4 kanal</t>
        </is>
      </c>
      <c r="C14" s="6" t="inlineStr">
        <is>
          <t>BSS138, 3,3 V ↔ 5 V</t>
        </is>
      </c>
      <c r="D14" s="6" t="inlineStr">
        <is>
          <t>Sinyal YF-S201 &amp; I2C LCD ke ESP32-C3</t>
        </is>
      </c>
      <c r="E14" s="5" t="inlineStr">
        <is>
          <t>Inti</t>
        </is>
      </c>
      <c r="F14" s="5" t="inlineStr">
        <is>
          <t>pcs</t>
        </is>
      </c>
      <c r="G14" s="7" t="n">
        <v>1</v>
      </c>
      <c r="H14" s="8" t="n">
        <v>8000</v>
      </c>
      <c r="I14" s="8">
        <f>G14*H14</f>
        <v/>
      </c>
      <c r="J14" s="9" t="n"/>
      <c r="K14" s="8">
        <f>IF(J14="","",G14*J14)</f>
        <v/>
      </c>
      <c r="L14" s="8">
        <f>IF(J14="",I14,K14)</f>
        <v/>
      </c>
      <c r="M14" s="8">
        <f>IF(J14="","",K14-I14)</f>
        <v/>
      </c>
      <c r="N14" s="10" t="n"/>
      <c r="O14" s="7" t="inlineStr">
        <is>
          <t>Belum</t>
        </is>
      </c>
      <c r="P14" s="6" t="inlineStr"/>
    </row>
    <row r="15">
      <c r="A15" s="5" t="n">
        <v>9</v>
      </c>
      <c r="B15" s="6" t="inlineStr">
        <is>
          <t>Modul step-down 12 V → 5 V</t>
        </is>
      </c>
      <c r="C15" s="6" t="inlineStr">
        <is>
          <t>LM2596 / Mini-360</t>
        </is>
      </c>
      <c r="D15" s="6" t="inlineStr">
        <is>
          <t>Catu daya MCU &amp; LCD</t>
        </is>
      </c>
      <c r="E15" s="5" t="inlineStr">
        <is>
          <t>Inti</t>
        </is>
      </c>
      <c r="F15" s="5" t="inlineStr">
        <is>
          <t>pcs</t>
        </is>
      </c>
      <c r="G15" s="7" t="n">
        <v>1</v>
      </c>
      <c r="H15" s="8" t="n">
        <v>12000</v>
      </c>
      <c r="I15" s="8">
        <f>G15*H15</f>
        <v/>
      </c>
      <c r="J15" s="9" t="n">
        <v>0</v>
      </c>
      <c r="K15" s="8">
        <f>IF(J15="","",G15*J15)</f>
        <v/>
      </c>
      <c r="L15" s="8">
        <f>IF(J15="",I15,K15)</f>
        <v/>
      </c>
      <c r="M15" s="8">
        <f>IF(J15="","",K15-I15)</f>
        <v/>
      </c>
      <c r="N15" s="10" t="n"/>
      <c r="O15" s="7" t="inlineStr">
        <is>
          <t>Belum</t>
        </is>
      </c>
      <c r="P15" s="6" t="inlineStr"/>
    </row>
    <row r="16">
      <c r="A16" s="5" t="n">
        <v>10</v>
      </c>
      <c r="B16" s="6" t="inlineStr">
        <is>
          <t>Adaptor 12 V 5 A</t>
        </is>
      </c>
      <c r="C16" s="6" t="inlineStr">
        <is>
          <t>Switching, casing tertutup</t>
        </is>
      </c>
      <c r="D16" s="6" t="inlineStr">
        <is>
          <t>Sumber daya utama</t>
        </is>
      </c>
      <c r="E16" s="5" t="inlineStr">
        <is>
          <t>Inti</t>
        </is>
      </c>
      <c r="F16" s="5" t="inlineStr">
        <is>
          <t>pcs</t>
        </is>
      </c>
      <c r="G16" s="7" t="n">
        <v>1</v>
      </c>
      <c r="H16" s="8" t="n">
        <v>70000</v>
      </c>
      <c r="I16" s="8">
        <f>G16*H16</f>
        <v/>
      </c>
      <c r="J16" s="9" t="n">
        <v>0</v>
      </c>
      <c r="K16" s="8">
        <f>IF(J16="","",G16*J16)</f>
        <v/>
      </c>
      <c r="L16" s="8">
        <f>IF(J16="",I16,K16)</f>
        <v/>
      </c>
      <c r="M16" s="8">
        <f>IF(J16="","",K16-I16)</f>
        <v/>
      </c>
      <c r="N16" s="10" t="n"/>
      <c r="O16" s="7" t="inlineStr">
        <is>
          <t>Belum</t>
        </is>
      </c>
      <c r="P16" s="6" t="inlineStr">
        <is>
          <t>Letakkan jauh dari air</t>
        </is>
      </c>
    </row>
    <row r="17">
      <c r="A17" s="5" t="n">
        <v>11</v>
      </c>
      <c r="B17" s="6" t="inlineStr">
        <is>
          <t>Sekring + holder inline</t>
        </is>
      </c>
      <c r="C17" s="6" t="inlineStr">
        <is>
          <t>3–5 A</t>
        </is>
      </c>
      <c r="D17" s="6" t="inlineStr">
        <is>
          <t>Proteksi hubung singkat</t>
        </is>
      </c>
      <c r="E17" s="5" t="inlineStr">
        <is>
          <t>Inti</t>
        </is>
      </c>
      <c r="F17" s="5" t="inlineStr">
        <is>
          <t>set</t>
        </is>
      </c>
      <c r="G17" s="7" t="n">
        <v>1</v>
      </c>
      <c r="H17" s="8" t="n">
        <v>8000</v>
      </c>
      <c r="I17" s="8">
        <f>G17*H17</f>
        <v/>
      </c>
      <c r="J17" s="9" t="n"/>
      <c r="K17" s="8">
        <f>IF(J17="","",G17*J17)</f>
        <v/>
      </c>
      <c r="L17" s="8">
        <f>IF(J17="",I17,K17)</f>
        <v/>
      </c>
      <c r="M17" s="8">
        <f>IF(J17="","",K17-I17)</f>
        <v/>
      </c>
      <c r="N17" s="10" t="n"/>
      <c r="O17" s="7" t="inlineStr">
        <is>
          <t>Belum</t>
        </is>
      </c>
      <c r="P17" s="6" t="inlineStr"/>
    </row>
    <row r="18">
      <c r="A18" s="5" t="n">
        <v>12</v>
      </c>
      <c r="B18" s="6" t="inlineStr">
        <is>
          <t>Saklar daya (rocker)</t>
        </is>
      </c>
      <c r="C18" s="6" t="inlineStr">
        <is>
          <t>6 A</t>
        </is>
      </c>
      <c r="D18" s="6" t="inlineStr">
        <is>
          <t>ON/OFF alat</t>
        </is>
      </c>
      <c r="E18" s="5" t="inlineStr">
        <is>
          <t>Inti</t>
        </is>
      </c>
      <c r="F18" s="5" t="inlineStr">
        <is>
          <t>pcs</t>
        </is>
      </c>
      <c r="G18" s="7" t="n">
        <v>1</v>
      </c>
      <c r="H18" s="8" t="n">
        <v>5000</v>
      </c>
      <c r="I18" s="8">
        <f>G18*H18</f>
        <v/>
      </c>
      <c r="J18" s="9" t="n"/>
      <c r="K18" s="8">
        <f>IF(J18="","",G18*J18)</f>
        <v/>
      </c>
      <c r="L18" s="8">
        <f>IF(J18="",I18,K18)</f>
        <v/>
      </c>
      <c r="M18" s="8">
        <f>IF(J18="","",K18-I18)</f>
        <v/>
      </c>
      <c r="N18" s="10" t="n"/>
      <c r="O18" s="7" t="inlineStr">
        <is>
          <t>Belum</t>
        </is>
      </c>
      <c r="P18" s="6" t="inlineStr"/>
    </row>
    <row r="19">
      <c r="A19" s="5" t="n">
        <v>13</v>
      </c>
      <c r="B19" s="6" t="inlineStr">
        <is>
          <t>Jack DC panel female</t>
        </is>
      </c>
      <c r="C19" s="6" t="inlineStr">
        <is>
          <t>5,5 × 2,1 mm</t>
        </is>
      </c>
      <c r="D19" s="6" t="inlineStr">
        <is>
          <t>Input adaptor</t>
        </is>
      </c>
      <c r="E19" s="5" t="inlineStr">
        <is>
          <t>Inti</t>
        </is>
      </c>
      <c r="F19" s="5" t="inlineStr">
        <is>
          <t>pcs</t>
        </is>
      </c>
      <c r="G19" s="7" t="n">
        <v>1</v>
      </c>
      <c r="H19" s="8" t="n">
        <v>5000</v>
      </c>
      <c r="I19" s="8">
        <f>G19*H19</f>
        <v/>
      </c>
      <c r="J19" s="9" t="n"/>
      <c r="K19" s="8">
        <f>IF(J19="","",G19*J19)</f>
        <v/>
      </c>
      <c r="L19" s="8">
        <f>IF(J19="",I19,K19)</f>
        <v/>
      </c>
      <c r="M19" s="8">
        <f>IF(J19="","",K19-I19)</f>
        <v/>
      </c>
      <c r="N19" s="10" t="n"/>
      <c r="O19" s="7" t="inlineStr">
        <is>
          <t>Belum</t>
        </is>
      </c>
      <c r="P19" s="6" t="inlineStr"/>
    </row>
    <row r="20">
      <c r="A20" s="5" t="n">
        <v>14</v>
      </c>
      <c r="B20" s="6" t="inlineStr">
        <is>
          <t>Potensiometer 10 kΩ + knob</t>
        </is>
      </c>
      <c r="C20" s="6" t="inlineStr">
        <is>
          <t>Linear, dudukan panel</t>
        </is>
      </c>
      <c r="D20" s="6" t="inlineStr">
        <is>
          <t>Kenop target debit</t>
        </is>
      </c>
      <c r="E20" s="5" t="inlineStr">
        <is>
          <t>Inti</t>
        </is>
      </c>
      <c r="F20" s="5" t="inlineStr">
        <is>
          <t>pcs</t>
        </is>
      </c>
      <c r="G20" s="7" t="n">
        <v>1</v>
      </c>
      <c r="H20" s="8" t="n">
        <v>10000</v>
      </c>
      <c r="I20" s="8">
        <f>G20*H20</f>
        <v/>
      </c>
      <c r="J20" s="9" t="n"/>
      <c r="K20" s="8">
        <f>IF(J20="","",G20*J20)</f>
        <v/>
      </c>
      <c r="L20" s="8">
        <f>IF(J20="",I20,K20)</f>
        <v/>
      </c>
      <c r="M20" s="8">
        <f>IF(J20="","",K20-I20)</f>
        <v/>
      </c>
      <c r="N20" s="10" t="n"/>
      <c r="O20" s="7" t="inlineStr">
        <is>
          <t>Belum</t>
        </is>
      </c>
      <c r="P20" s="6" t="inlineStr"/>
    </row>
    <row r="21">
      <c r="A21" s="5" t="n">
        <v>15</v>
      </c>
      <c r="B21" s="6" t="inlineStr">
        <is>
          <t>Tombol tekan panel</t>
        </is>
      </c>
      <c r="C21" s="6" t="inlineStr">
        <is>
          <t>12 mm, momentary</t>
        </is>
      </c>
      <c r="D21" s="6" t="inlineStr">
        <is>
          <t>Tombol CEK + Start/Stop</t>
        </is>
      </c>
      <c r="E21" s="5" t="inlineStr">
        <is>
          <t>Inti</t>
        </is>
      </c>
      <c r="F21" s="5" t="inlineStr">
        <is>
          <t>pcs</t>
        </is>
      </c>
      <c r="G21" s="7" t="n">
        <v>2</v>
      </c>
      <c r="H21" s="8" t="n">
        <v>5000</v>
      </c>
      <c r="I21" s="8">
        <f>G21*H21</f>
        <v/>
      </c>
      <c r="J21" s="9" t="n"/>
      <c r="K21" s="8">
        <f>IF(J21="","",G21*J21)</f>
        <v/>
      </c>
      <c r="L21" s="8">
        <f>IF(J21="",I21,K21)</f>
        <v/>
      </c>
      <c r="M21" s="8">
        <f>IF(J21="","",K21-I21)</f>
        <v/>
      </c>
      <c r="N21" s="10" t="n"/>
      <c r="O21" s="7" t="inlineStr">
        <is>
          <t>Belum</t>
        </is>
      </c>
      <c r="P21" s="6" t="inlineStr"/>
    </row>
    <row r="22">
      <c r="A22" s="5" t="n">
        <v>16</v>
      </c>
      <c r="B22" s="6" t="inlineStr">
        <is>
          <t>Buzzer aktif 5 V</t>
        </is>
      </c>
      <c r="C22" s="6" t="inlineStr"/>
      <c r="D22" s="6" t="inlineStr">
        <is>
          <t>Sonifikasi debit &amp; alarm</t>
        </is>
      </c>
      <c r="E22" s="5" t="inlineStr">
        <is>
          <t>Inti</t>
        </is>
      </c>
      <c r="F22" s="5" t="inlineStr">
        <is>
          <t>pcs</t>
        </is>
      </c>
      <c r="G22" s="7" t="n">
        <v>1</v>
      </c>
      <c r="H22" s="8" t="n">
        <v>5000</v>
      </c>
      <c r="I22" s="8">
        <f>G22*H22</f>
        <v/>
      </c>
      <c r="J22" s="9" t="n"/>
      <c r="K22" s="8">
        <f>IF(J22="","",G22*J22)</f>
        <v/>
      </c>
      <c r="L22" s="8">
        <f>IF(J22="",I22,K22)</f>
        <v/>
      </c>
      <c r="M22" s="8">
        <f>IF(J22="","",K22-I22)</f>
        <v/>
      </c>
      <c r="N22" s="10" t="n"/>
      <c r="O22" s="7" t="inlineStr">
        <is>
          <t>Belum</t>
        </is>
      </c>
      <c r="P22" s="6" t="inlineStr"/>
    </row>
    <row r="23">
      <c r="A23" s="5" t="n">
        <v>17</v>
      </c>
      <c r="B23" s="6" t="inlineStr">
        <is>
          <t>Komponen pasif</t>
        </is>
      </c>
      <c r="C23" s="6" t="inlineStr">
        <is>
          <t>Resistor 10 kΩ &amp; 4,7 kΩ, kapasitor filter, dioda flyback 1N5819</t>
        </is>
      </c>
      <c r="D23" s="6" t="inlineStr">
        <is>
          <t>Pull-down gate, pull-up &amp; filter sensor, proteksi pompa</t>
        </is>
      </c>
      <c r="E23" s="5" t="inlineStr">
        <is>
          <t>Inti</t>
        </is>
      </c>
      <c r="F23" s="5" t="inlineStr">
        <is>
          <t>paket</t>
        </is>
      </c>
      <c r="G23" s="7" t="n">
        <v>1</v>
      </c>
      <c r="H23" s="8" t="n">
        <v>15000</v>
      </c>
      <c r="I23" s="8">
        <f>G23*H23</f>
        <v/>
      </c>
      <c r="J23" s="9" t="n">
        <v>0</v>
      </c>
      <c r="K23" s="8">
        <f>IF(J23="","",G23*J23)</f>
        <v/>
      </c>
      <c r="L23" s="8">
        <f>IF(J23="",I23,K23)</f>
        <v/>
      </c>
      <c r="M23" s="8">
        <f>IF(J23="","",K23-I23)</f>
        <v/>
      </c>
      <c r="N23" s="10" t="n"/>
      <c r="O23" s="7" t="inlineStr">
        <is>
          <t>Belum</t>
        </is>
      </c>
      <c r="P23" s="6" t="inlineStr"/>
    </row>
    <row r="24">
      <c r="A24" s="5" t="n">
        <v>18</v>
      </c>
      <c r="B24" s="6" t="inlineStr">
        <is>
          <t>PCB lubang + header + terminal sekrup</t>
        </is>
      </c>
      <c r="C24" s="6" t="inlineStr">
        <is>
          <t>± 7 × 9 cm</t>
        </is>
      </c>
      <c r="D24" s="6" t="inlineStr">
        <is>
          <t>Papan rangkaian</t>
        </is>
      </c>
      <c r="E24" s="5" t="inlineStr">
        <is>
          <t>Inti</t>
        </is>
      </c>
      <c r="F24" s="5" t="inlineStr">
        <is>
          <t>set</t>
        </is>
      </c>
      <c r="G24" s="7" t="n">
        <v>1</v>
      </c>
      <c r="H24" s="8" t="n">
        <v>20000</v>
      </c>
      <c r="I24" s="8">
        <f>G24*H24</f>
        <v/>
      </c>
      <c r="J24" s="9" t="n"/>
      <c r="K24" s="8">
        <f>IF(J24="","",G24*J24)</f>
        <v/>
      </c>
      <c r="L24" s="8">
        <f>IF(J24="",I24,K24)</f>
        <v/>
      </c>
      <c r="M24" s="8">
        <f>IF(J24="","",K24-I24)</f>
        <v/>
      </c>
      <c r="N24" s="10" t="n"/>
      <c r="O24" s="7" t="inlineStr">
        <is>
          <t>Belum</t>
        </is>
      </c>
      <c r="P24" s="6" t="inlineStr"/>
    </row>
    <row r="25">
      <c r="A25" s="5" t="n">
        <v>19</v>
      </c>
      <c r="B25" s="6" t="inlineStr">
        <is>
          <t>Kabel &amp; heatshrink</t>
        </is>
      </c>
      <c r="C25" s="6" t="inlineStr">
        <is>
          <t>Kabel serabut, jumper, kabel sensor berpelindung ± 5 m</t>
        </is>
      </c>
      <c r="D25" s="6" t="inlineStr">
        <is>
          <t>Pengkabelan; jalur sensor dipisah dari kabel pompa</t>
        </is>
      </c>
      <c r="E25" s="5" t="inlineStr">
        <is>
          <t>Inti</t>
        </is>
      </c>
      <c r="F25" s="5" t="inlineStr">
        <is>
          <t>paket</t>
        </is>
      </c>
      <c r="G25" s="7" t="n">
        <v>1</v>
      </c>
      <c r="H25" s="8" t="n">
        <v>35000</v>
      </c>
      <c r="I25" s="8">
        <f>G25*H25</f>
        <v/>
      </c>
      <c r="J25" s="9" t="n"/>
      <c r="K25" s="8">
        <f>IF(J25="","",G25*J25)</f>
        <v/>
      </c>
      <c r="L25" s="8">
        <f>IF(J25="",I25,K25)</f>
        <v/>
      </c>
      <c r="M25" s="8">
        <f>IF(J25="","",K25-I25)</f>
        <v/>
      </c>
      <c r="N25" s="10" t="n"/>
      <c r="O25" s="7" t="inlineStr">
        <is>
          <t>Belum</t>
        </is>
      </c>
      <c r="P25" s="6" t="inlineStr">
        <is>
          <t>Kabel berpelindung mengurangi pulsa palsu dari derau motor</t>
        </is>
      </c>
    </row>
    <row r="26">
      <c r="A26" s="5" t="n">
        <v>20</v>
      </c>
      <c r="B26" s="6" t="inlineStr">
        <is>
          <t>Kotak elektronik tahan cipratan</t>
        </is>
      </c>
      <c r="C26" s="6" t="inlineStr">
        <is>
          <t>Junction box IP65 ± 15 × 10 × 7 cm</t>
        </is>
      </c>
      <c r="D26" s="6" t="inlineStr">
        <is>
          <t>Elektronik di atas garis air</t>
        </is>
      </c>
      <c r="E26" s="5" t="inlineStr">
        <is>
          <t>Inti</t>
        </is>
      </c>
      <c r="F26" s="5" t="inlineStr">
        <is>
          <t>pcs</t>
        </is>
      </c>
      <c r="G26" s="7" t="n">
        <v>1</v>
      </c>
      <c r="H26" s="8" t="n">
        <v>45000</v>
      </c>
      <c r="I26" s="8">
        <f>G26*H26</f>
        <v/>
      </c>
      <c r="J26" s="9" t="n"/>
      <c r="K26" s="8">
        <f>IF(J26="","",G26*J26)</f>
        <v/>
      </c>
      <c r="L26" s="8">
        <f>IF(J26="",I26,K26)</f>
        <v/>
      </c>
      <c r="M26" s="8">
        <f>IF(J26="","",K26-I26)</f>
        <v/>
      </c>
      <c r="N26" s="10" t="n"/>
      <c r="O26" s="7" t="inlineStr">
        <is>
          <t>Belum</t>
        </is>
      </c>
      <c r="P26" s="6" t="inlineStr"/>
    </row>
    <row r="27">
      <c r="A27" s="5" t="n">
        <v>21</v>
      </c>
      <c r="B27" s="11" t="inlineStr">
        <is>
          <t>Sensor flow YF-S401 (S2)</t>
        </is>
      </c>
      <c r="C27" s="6" t="inlineStr">
        <is>
          <t>0,3–6 L/min</t>
        </is>
      </c>
      <c r="D27" s="6" t="inlineStr">
        <is>
          <t>Sensor kedua di zona C</t>
        </is>
      </c>
      <c r="E27" s="5" t="inlineStr">
        <is>
          <t>Lengkap</t>
        </is>
      </c>
      <c r="F27" s="5" t="inlineStr">
        <is>
          <t>pcs</t>
        </is>
      </c>
      <c r="G27" s="7" t="n">
        <v>1</v>
      </c>
      <c r="H27" s="8" t="n">
        <v>45000</v>
      </c>
      <c r="I27" s="8">
        <f>G27*H27</f>
        <v/>
      </c>
      <c r="J27" s="9" t="n">
        <v>42211</v>
      </c>
      <c r="K27" s="8">
        <f>IF(J27="","",G27*J27)</f>
        <v/>
      </c>
      <c r="L27" s="8">
        <f>IF(J27="",I27,K27)</f>
        <v/>
      </c>
      <c r="M27" s="8">
        <f>IF(J27="","",K27-I27)</f>
        <v/>
      </c>
      <c r="N27" s="10" t="n"/>
      <c r="O27" s="7" t="inlineStr">
        <is>
          <t>Diterima</t>
        </is>
      </c>
      <c r="P27" s="6" t="inlineStr">
        <is>
          <t>Uji rugi tekanan dulu: harus ≤ ± 90 mm di 6 L/min</t>
        </is>
      </c>
    </row>
    <row r="28">
      <c r="A28" s="5" t="n">
        <v>22</v>
      </c>
      <c r="B28" s="11" t="inlineStr">
        <is>
          <t>Stop kontak / adaptor ber-RCD</t>
        </is>
      </c>
      <c r="C28" s="6" t="inlineStr">
        <is>
          <t>Portable RCD 30 mA</t>
        </is>
      </c>
      <c r="D28" s="6" t="inlineStr">
        <is>
          <t>Keselamatan listrik dekat air</t>
        </is>
      </c>
      <c r="E28" s="5" t="inlineStr">
        <is>
          <t>Opsional</t>
        </is>
      </c>
      <c r="F28" s="5" t="inlineStr">
        <is>
          <t>pcs</t>
        </is>
      </c>
      <c r="G28" s="7" t="n">
        <v>1</v>
      </c>
      <c r="H28" s="8" t="n">
        <v>200000</v>
      </c>
      <c r="I28" s="8">
        <f>G28*H28</f>
        <v/>
      </c>
      <c r="J28" s="9" t="n"/>
      <c r="K28" s="8">
        <f>IF(J28="","",G28*J28)</f>
        <v/>
      </c>
      <c r="L28" s="8">
        <f>IF(J28="",I28,K28)</f>
        <v/>
      </c>
      <c r="M28" s="8">
        <f>IF(J28="","",K28-I28)</f>
        <v/>
      </c>
      <c r="N28" s="10" t="n"/>
      <c r="O28" s="7" t="inlineStr">
        <is>
          <t>Belum</t>
        </is>
      </c>
      <c r="P28" s="6" t="inlineStr">
        <is>
          <t>Tidak perlu jika stop kontak lab sudah ber-RCD</t>
        </is>
      </c>
    </row>
    <row r="29">
      <c r="A29" s="5" t="n">
        <v>23</v>
      </c>
      <c r="B29" s="11" t="inlineStr">
        <is>
          <t>Sensor tekanan analog 0–10 kPa</t>
        </is>
      </c>
      <c r="C29" s="6" t="inlineStr">
        <is>
          <t>MPX5010DP / XGZP6847</t>
        </is>
      </c>
      <c r="D29" s="6" t="inlineStr">
        <is>
          <t>Demo hidrostatis tangki</t>
        </is>
      </c>
      <c r="E29" s="5" t="inlineStr">
        <is>
          <t>Opsional</t>
        </is>
      </c>
      <c r="F29" s="5" t="inlineStr">
        <is>
          <t>pcs</t>
        </is>
      </c>
      <c r="G29" s="7" t="n">
        <v>1</v>
      </c>
      <c r="H29" s="8" t="n">
        <v>120000</v>
      </c>
      <c r="I29" s="8">
        <f>G29*H29</f>
        <v/>
      </c>
      <c r="J29" s="9" t="n"/>
      <c r="K29" s="8">
        <f>IF(J29="","",G29*J29)</f>
        <v/>
      </c>
      <c r="L29" s="8">
        <f>IF(J29="",I29,K29)</f>
        <v/>
      </c>
      <c r="M29" s="8">
        <f>IF(J29="","",K29-I29)</f>
        <v/>
      </c>
      <c r="N29" s="10" t="n"/>
      <c r="O29" s="7" t="inlineStr">
        <is>
          <t>Belum</t>
        </is>
      </c>
      <c r="P29" s="6" t="inlineStr">
        <is>
          <t>Hanya jika hidrostatis masuk materi skripsi</t>
        </is>
      </c>
    </row>
    <row r="30">
      <c r="A30" s="5" t="n">
        <v>24</v>
      </c>
      <c r="B30" s="11" t="inlineStr">
        <is>
          <t>Sensor ultrasonik HC-SR04</t>
        </is>
      </c>
      <c r="C30" s="6" t="inlineStr"/>
      <c r="D30" s="6" t="inlineStr">
        <is>
          <t>Tinggi air tangki (demo hidrostatis)</t>
        </is>
      </c>
      <c r="E30" s="5" t="inlineStr">
        <is>
          <t>Opsional</t>
        </is>
      </c>
      <c r="F30" s="5" t="inlineStr">
        <is>
          <t>pcs</t>
        </is>
      </c>
      <c r="G30" s="7" t="n">
        <v>1</v>
      </c>
      <c r="H30" s="8" t="n">
        <v>15000</v>
      </c>
      <c r="I30" s="8">
        <f>G30*H30</f>
        <v/>
      </c>
      <c r="J30" s="9" t="n"/>
      <c r="K30" s="8">
        <f>IF(J30="","",G30*J30)</f>
        <v/>
      </c>
      <c r="L30" s="8">
        <f>IF(J30="",I30,K30)</f>
        <v/>
      </c>
      <c r="M30" s="8">
        <f>IF(J30="","",K30-I30)</f>
        <v/>
      </c>
      <c r="N30" s="10" t="n"/>
      <c r="O30" s="7" t="inlineStr">
        <is>
          <t>Belum</t>
        </is>
      </c>
      <c r="P30" s="6" t="inlineStr">
        <is>
          <t>Pasangan sensor tekanan di atas</t>
        </is>
      </c>
    </row>
    <row r="31">
      <c r="A31" s="12" t="n"/>
      <c r="B31" s="12" t="inlineStr">
        <is>
          <t>Subtotal Elektronik — paket inti</t>
        </is>
      </c>
      <c r="C31" s="12" t="n"/>
      <c r="D31" s="12" t="n"/>
      <c r="E31" s="12" t="n"/>
      <c r="F31" s="12" t="n"/>
      <c r="G31" s="12" t="n"/>
      <c r="H31" s="12" t="n"/>
      <c r="I31" s="13">
        <f>SUMIFS(I7:I30,E7:E30,"Inti")</f>
        <v/>
      </c>
      <c r="J31" s="12" t="n"/>
      <c r="K31" s="13">
        <f>SUMIFS(K7:K30,E7:E30,"Inti")</f>
        <v/>
      </c>
      <c r="L31" s="13">
        <f>SUMIFS(L7:L30,E7:E30,"Inti")</f>
        <v/>
      </c>
      <c r="M31" s="12" t="n"/>
      <c r="N31" s="12" t="n"/>
      <c r="O31" s="12" t="n"/>
      <c r="P31" s="12" t="n"/>
    </row>
    <row r="32"/>
    <row r="33">
      <c r="A33" s="4" t="inlineStr">
        <is>
          <t>B. MEKANIS — HIDROLIK (pipa, aliran, manometer)</t>
        </is>
      </c>
    </row>
    <row r="34">
      <c r="A34" s="5" t="n">
        <v>25</v>
      </c>
      <c r="B34" s="6" t="inlineStr">
        <is>
          <t>Tangki akrilik custom + tutup</t>
        </is>
      </c>
      <c r="C34" s="6" t="inlineStr">
        <is>
          <t>± 30 × 20 × 25 cm, tebal 4–5 mm</t>
        </is>
      </c>
      <c r="D34" s="6" t="inlineStr">
        <is>
          <t>Tangki air tunggal</t>
        </is>
      </c>
      <c r="E34" s="5" t="inlineStr">
        <is>
          <t>Inti</t>
        </is>
      </c>
      <c r="F34" s="5" t="inlineStr">
        <is>
          <t>pcs</t>
        </is>
      </c>
      <c r="G34" s="7" t="n">
        <v>1</v>
      </c>
      <c r="H34" s="8" t="n">
        <v>220000</v>
      </c>
      <c r="I34" s="8">
        <f>G34*H34</f>
        <v/>
      </c>
      <c r="J34" s="9" t="n"/>
      <c r="K34" s="8">
        <f>IF(J34="","",G34*J34)</f>
        <v/>
      </c>
      <c r="L34" s="8">
        <f>IF(J34="",I34,K34)</f>
        <v/>
      </c>
      <c r="M34" s="8">
        <f>IF(J34="","",K34-I34)</f>
        <v/>
      </c>
      <c r="N34" s="10" t="n"/>
      <c r="O34" s="7" t="inlineStr">
        <is>
          <t>Belum</t>
        </is>
      </c>
      <c r="P34" s="6" t="inlineStr">
        <is>
          <t>Alternatif hemat: kontainer plastik bening ± Rp60 rb. Uji bangku pakai ember</t>
        </is>
      </c>
    </row>
    <row r="35">
      <c r="A35" s="5" t="n">
        <v>26</v>
      </c>
      <c r="B35" s="6" t="inlineStr">
        <is>
          <t>Sekat tangki</t>
        </is>
      </c>
      <c r="C35" s="6" t="inlineStr">
        <is>
          <t>Potongan akrilik</t>
        </is>
      </c>
      <c r="D35" s="6" t="inlineStr">
        <is>
          <t>Pisahkan air balik dari hisapan pompa</t>
        </is>
      </c>
      <c r="E35" s="5" t="inlineStr">
        <is>
          <t>Inti</t>
        </is>
      </c>
      <c r="F35" s="5" t="inlineStr">
        <is>
          <t>pcs</t>
        </is>
      </c>
      <c r="G35" s="7" t="n">
        <v>1</v>
      </c>
      <c r="H35" s="8" t="n">
        <v>15000</v>
      </c>
      <c r="I35" s="8">
        <f>G35*H35</f>
        <v/>
      </c>
      <c r="J35" s="9" t="n"/>
      <c r="K35" s="8">
        <f>IF(J35="","",G35*J35)</f>
        <v/>
      </c>
      <c r="L35" s="8">
        <f>IF(J35="",I35,K35)</f>
        <v/>
      </c>
      <c r="M35" s="8">
        <f>IF(J35="","",K35-I35)</f>
        <v/>
      </c>
      <c r="N35" s="10" t="n"/>
      <c r="O35" s="7" t="inlineStr">
        <is>
          <t>Belum</t>
        </is>
      </c>
      <c r="P35" s="6" t="inlineStr"/>
    </row>
    <row r="36">
      <c r="A36" s="5" t="n">
        <v>27</v>
      </c>
      <c r="B36" s="6" t="inlineStr">
        <is>
          <t>Saringan hisapan pompa</t>
        </is>
      </c>
      <c r="C36" s="6" t="inlineStr">
        <is>
          <t>Spons / kasa halus</t>
        </is>
      </c>
      <c r="D36" s="6" t="inlineStr">
        <is>
          <t>Cegah serpihan menyumbat S1 &amp; sadap</t>
        </is>
      </c>
      <c r="E36" s="5" t="inlineStr">
        <is>
          <t>Inti</t>
        </is>
      </c>
      <c r="F36" s="5" t="inlineStr">
        <is>
          <t>pcs</t>
        </is>
      </c>
      <c r="G36" s="7" t="n">
        <v>1</v>
      </c>
      <c r="H36" s="8" t="n">
        <v>10000</v>
      </c>
      <c r="I36" s="8">
        <f>G36*H36</f>
        <v/>
      </c>
      <c r="J36" s="9" t="n"/>
      <c r="K36" s="8">
        <f>IF(J36="","",G36*J36)</f>
        <v/>
      </c>
      <c r="L36" s="8">
        <f>IF(J36="",I36,K36)</f>
        <v/>
      </c>
      <c r="M36" s="8">
        <f>IF(J36="","",K36-I36)</f>
        <v/>
      </c>
      <c r="N36" s="10" t="n"/>
      <c r="O36" s="7" t="inlineStr">
        <is>
          <t>Belum</t>
        </is>
      </c>
      <c r="P36" s="6" t="inlineStr"/>
    </row>
    <row r="37">
      <c r="A37" s="5" t="n">
        <v>28</v>
      </c>
      <c r="B37" s="6" t="inlineStr">
        <is>
          <t>Tabung akrilik OD 25 / ID 19 mm</t>
        </is>
      </c>
      <c r="C37" s="6" t="inlineStr">
        <is>
          <t>Panjang 1 m per batang</t>
        </is>
      </c>
      <c r="D37" s="6" t="inlineStr">
        <is>
          <t>Pipa uji: sebelum venturi &amp; tanjakan</t>
        </is>
      </c>
      <c r="E37" s="5" t="inlineStr">
        <is>
          <t>Inti</t>
        </is>
      </c>
      <c r="F37" s="5" t="inlineStr">
        <is>
          <t>batang</t>
        </is>
      </c>
      <c r="G37" s="7" t="n">
        <v>2</v>
      </c>
      <c r="H37" s="8" t="n">
        <v>75000</v>
      </c>
      <c r="I37" s="8">
        <f>G37*H37</f>
        <v/>
      </c>
      <c r="J37" s="9" t="n"/>
      <c r="K37" s="8">
        <f>IF(J37="","",G37*J37)</f>
        <v/>
      </c>
      <c r="L37" s="8">
        <f>IF(J37="",I37,K37)</f>
        <v/>
      </c>
      <c r="M37" s="8">
        <f>IF(J37="","",K37-I37)</f>
        <v/>
      </c>
      <c r="N37" s="10" t="n"/>
      <c r="O37" s="7" t="inlineStr">
        <is>
          <t>Belum</t>
        </is>
      </c>
      <c r="P37" s="6" t="inlineStr">
        <is>
          <t>Ukur ID riil dengan jangka sorong sebelum cetak venturi</t>
        </is>
      </c>
    </row>
    <row r="38">
      <c r="A38" s="5" t="n">
        <v>29</v>
      </c>
      <c r="B38" s="6" t="inlineStr">
        <is>
          <t>Venturi cetak 3D PETG</t>
        </is>
      </c>
      <c r="C38" s="6" t="inlineStr">
        <is>
          <t>ID 19 → leher 10 → 19, nipple sadap menyatu</t>
        </is>
      </c>
      <c r="D38" s="6" t="inlineStr">
        <is>
          <t>Zona A (bukti utama)</t>
        </is>
      </c>
      <c r="E38" s="5" t="inlineStr">
        <is>
          <t>Inti</t>
        </is>
      </c>
      <c r="F38" s="5" t="inlineStr">
        <is>
          <t>pcs</t>
        </is>
      </c>
      <c r="G38" s="7" t="n">
        <v>3</v>
      </c>
      <c r="H38" s="8" t="n">
        <v>50000</v>
      </c>
      <c r="I38" s="8">
        <f>G38*H38</f>
        <v/>
      </c>
      <c r="J38" s="9" t="n"/>
      <c r="K38" s="8">
        <f>IF(J38="","",G38*J38)</f>
        <v/>
      </c>
      <c r="L38" s="8">
        <f>IF(J38="",I38,K38)</f>
        <v/>
      </c>
      <c r="M38" s="8">
        <f>IF(J38="","",K38-I38)</f>
        <v/>
      </c>
      <c r="N38" s="10" t="n"/>
      <c r="O38" s="7" t="inlineStr">
        <is>
          <t>Belum</t>
        </is>
      </c>
      <c r="P38" s="6" t="inlineStr">
        <is>
          <t>Cetak 3, pakai yang lehernya paling presisi (Δh ∝ d⁻⁴)</t>
        </is>
      </c>
    </row>
    <row r="39">
      <c r="A39" s="5" t="n">
        <v>30</v>
      </c>
      <c r="B39" s="6" t="inlineStr">
        <is>
          <t>Katup searah swing/flapper 3/4"</t>
        </is>
      </c>
      <c r="C39" s="6" t="inlineStr">
        <is>
          <t>Tekanan buka rendah (bukan tipe pegas)</t>
        </is>
      </c>
      <c r="D39" s="6" t="inlineStr">
        <is>
          <t>Tahan air saat pompa mati → uji nol</t>
        </is>
      </c>
      <c r="E39" s="5" t="inlineStr">
        <is>
          <t>Inti</t>
        </is>
      </c>
      <c r="F39" s="5" t="inlineStr">
        <is>
          <t>pcs</t>
        </is>
      </c>
      <c r="G39" s="7" t="n">
        <v>1</v>
      </c>
      <c r="H39" s="8" t="n">
        <v>50000</v>
      </c>
      <c r="I39" s="8">
        <f>G39*H39</f>
        <v/>
      </c>
      <c r="J39" s="9" t="n"/>
      <c r="K39" s="8">
        <f>IF(J39="","",G39*J39)</f>
        <v/>
      </c>
      <c r="L39" s="8">
        <f>IF(J39="",I39,K39)</f>
        <v/>
      </c>
      <c r="M39" s="8">
        <f>IF(J39="","",K39-I39)</f>
        <v/>
      </c>
      <c r="N39" s="10" t="n"/>
      <c r="O39" s="7" t="inlineStr">
        <is>
          <t>Belum</t>
        </is>
      </c>
      <c r="P39" s="6" t="inlineStr">
        <is>
          <t>Uji bangku: tahan kolom 170 mm ≥ 10 menit</t>
        </is>
      </c>
    </row>
    <row r="40">
      <c r="A40" s="5" t="n">
        <v>31</v>
      </c>
      <c r="B40" s="6" t="inlineStr">
        <is>
          <t>Ball valve PVC 3/4"</t>
        </is>
      </c>
      <c r="C40" s="6" t="inlineStr"/>
      <c r="D40" s="6" t="inlineStr">
        <is>
          <t>Penyetelan &amp; perawatan (bukan kenop siswa)</t>
        </is>
      </c>
      <c r="E40" s="5" t="inlineStr">
        <is>
          <t>Inti</t>
        </is>
      </c>
      <c r="F40" s="5" t="inlineStr">
        <is>
          <t>pcs</t>
        </is>
      </c>
      <c r="G40" s="7" t="n">
        <v>1</v>
      </c>
      <c r="H40" s="8" t="n">
        <v>15000</v>
      </c>
      <c r="I40" s="8">
        <f>G40*H40</f>
        <v/>
      </c>
      <c r="J40" s="9" t="n"/>
      <c r="K40" s="8">
        <f>IF(J40="","",G40*J40)</f>
        <v/>
      </c>
      <c r="L40" s="8">
        <f>IF(J40="",I40,K40)</f>
        <v/>
      </c>
      <c r="M40" s="8">
        <f>IF(J40="","",K40-I40)</f>
        <v/>
      </c>
      <c r="N40" s="10" t="n"/>
      <c r="O40" s="7" t="inlineStr">
        <is>
          <t>Belum</t>
        </is>
      </c>
      <c r="P40" s="6" t="inlineStr"/>
    </row>
    <row r="41">
      <c r="A41" s="5" t="n">
        <v>32</v>
      </c>
      <c r="B41" s="6" t="inlineStr">
        <is>
          <t>Pipa PVC 3/4" AW</t>
        </is>
      </c>
      <c r="C41" s="6" t="inlineStr">
        <is>
          <t>1 batang 4 m</t>
        </is>
      </c>
      <c r="D41" s="6" t="inlineStr">
        <is>
          <t>Leher angsa, pipa balik, pipa limpah</t>
        </is>
      </c>
      <c r="E41" s="5" t="inlineStr">
        <is>
          <t>Inti</t>
        </is>
      </c>
      <c r="F41" s="5" t="inlineStr">
        <is>
          <t>batang</t>
        </is>
      </c>
      <c r="G41" s="7" t="n">
        <v>1</v>
      </c>
      <c r="H41" s="8" t="n">
        <v>45000</v>
      </c>
      <c r="I41" s="8">
        <f>G41*H41</f>
        <v/>
      </c>
      <c r="J41" s="9" t="n"/>
      <c r="K41" s="8">
        <f>IF(J41="","",G41*J41)</f>
        <v/>
      </c>
      <c r="L41" s="8">
        <f>IF(J41="",I41,K41)</f>
        <v/>
      </c>
      <c r="M41" s="8">
        <f>IF(J41="","",K41-I41)</f>
        <v/>
      </c>
      <c r="N41" s="10" t="n"/>
      <c r="O41" s="7" t="inlineStr">
        <is>
          <t>Belum</t>
        </is>
      </c>
      <c r="P41" s="6" t="inlineStr"/>
    </row>
    <row r="42">
      <c r="A42" s="5" t="n">
        <v>33</v>
      </c>
      <c r="B42" s="6" t="inlineStr">
        <is>
          <t>Fitting PVC 3/4"</t>
        </is>
      </c>
      <c r="C42" s="6" t="inlineStr">
        <is>
          <t>Elbow, tee, sok drat (± 10 pcs)</t>
        </is>
      </c>
      <c r="D42" s="6" t="inlineStr">
        <is>
          <t>Sambungan pipa</t>
        </is>
      </c>
      <c r="E42" s="5" t="inlineStr">
        <is>
          <t>Inti</t>
        </is>
      </c>
      <c r="F42" s="5" t="inlineStr">
        <is>
          <t>paket</t>
        </is>
      </c>
      <c r="G42" s="7" t="n">
        <v>1</v>
      </c>
      <c r="H42" s="8" t="n">
        <v>50000</v>
      </c>
      <c r="I42" s="8">
        <f>G42*H42</f>
        <v/>
      </c>
      <c r="J42" s="9" t="n"/>
      <c r="K42" s="8">
        <f>IF(J42="","",G42*J42)</f>
        <v/>
      </c>
      <c r="L42" s="8">
        <f>IF(J42="",I42,K42)</f>
        <v/>
      </c>
      <c r="M42" s="8">
        <f>IF(J42="","",K42-I42)</f>
        <v/>
      </c>
      <c r="N42" s="10" t="n"/>
      <c r="O42" s="7" t="inlineStr">
        <is>
          <t>Belum</t>
        </is>
      </c>
      <c r="P42" s="6" t="inlineStr"/>
    </row>
    <row r="43">
      <c r="A43" s="5" t="n">
        <v>34</v>
      </c>
      <c r="B43" s="6" t="inlineStr">
        <is>
          <t>Sok reduksi 3/4" ↔ 1/2"</t>
        </is>
      </c>
      <c r="C43" s="6" t="inlineStr">
        <is>
          <t>Ulir dalam 1/2"</t>
        </is>
      </c>
      <c r="D43" s="6" t="inlineStr">
        <is>
          <t>Sambung S1 (2) &amp; outlet pompa 1/2" (1)</t>
        </is>
      </c>
      <c r="E43" s="5" t="inlineStr">
        <is>
          <t>Inti</t>
        </is>
      </c>
      <c r="F43" s="5" t="inlineStr">
        <is>
          <t>pcs</t>
        </is>
      </c>
      <c r="G43" s="7" t="n">
        <v>3</v>
      </c>
      <c r="H43" s="8" t="n">
        <v>8000</v>
      </c>
      <c r="I43" s="8">
        <f>G43*H43</f>
        <v/>
      </c>
      <c r="J43" s="9" t="n"/>
      <c r="K43" s="8">
        <f>IF(J43="","",G43*J43)</f>
        <v/>
      </c>
      <c r="L43" s="8">
        <f>IF(J43="",I43,K43)</f>
        <v/>
      </c>
      <c r="M43" s="8">
        <f>IF(J43="","",K43-I43)</f>
        <v/>
      </c>
      <c r="N43" s="10" t="n"/>
      <c r="O43" s="7" t="inlineStr">
        <is>
          <t>Belum</t>
        </is>
      </c>
      <c r="P43" s="6" t="inlineStr"/>
    </row>
    <row r="44">
      <c r="A44" s="5" t="n">
        <v>35</v>
      </c>
      <c r="B44" s="6" t="inlineStr">
        <is>
          <t>Sambungan akrilik ↔ PVC</t>
        </is>
      </c>
      <c r="C44" s="6" t="inlineStr">
        <is>
          <t>Rubber coupling / sok OD 25 mm</t>
        </is>
      </c>
      <c r="D44" s="6" t="inlineStr">
        <is>
          <t>Transisi tabung akrilik ke fitting PVC</t>
        </is>
      </c>
      <c r="E44" s="5" t="inlineStr">
        <is>
          <t>Inti</t>
        </is>
      </c>
      <c r="F44" s="5" t="inlineStr">
        <is>
          <t>pcs</t>
        </is>
      </c>
      <c r="G44" s="7" t="n">
        <v>4</v>
      </c>
      <c r="H44" s="8" t="n">
        <v>12000</v>
      </c>
      <c r="I44" s="8">
        <f>G44*H44</f>
        <v/>
      </c>
      <c r="J44" s="9" t="n"/>
      <c r="K44" s="8">
        <f>IF(J44="","",G44*J44)</f>
        <v/>
      </c>
      <c r="L44" s="8">
        <f>IF(J44="",I44,K44)</f>
        <v/>
      </c>
      <c r="M44" s="8">
        <f>IF(J44="","",K44-I44)</f>
        <v/>
      </c>
      <c r="N44" s="10" t="n"/>
      <c r="O44" s="7" t="inlineStr">
        <is>
          <t>Belum</t>
        </is>
      </c>
      <c r="P44" s="6" t="inlineStr"/>
    </row>
    <row r="45">
      <c r="A45" s="5" t="n">
        <v>36</v>
      </c>
      <c r="B45" s="6" t="inlineStr">
        <is>
          <t>Tank connector (bulkhead) 3/4"</t>
        </is>
      </c>
      <c r="C45" s="6" t="inlineStr">
        <is>
          <t>Dengan seal karet</t>
        </is>
      </c>
      <c r="D45" s="6" t="inlineStr">
        <is>
          <t>Keluaran pompa &amp; masuk air balik</t>
        </is>
      </c>
      <c r="E45" s="5" t="inlineStr">
        <is>
          <t>Inti</t>
        </is>
      </c>
      <c r="F45" s="5" t="inlineStr">
        <is>
          <t>pcs</t>
        </is>
      </c>
      <c r="G45" s="7" t="n">
        <v>2</v>
      </c>
      <c r="H45" s="8" t="n">
        <v>20000</v>
      </c>
      <c r="I45" s="8">
        <f>G45*H45</f>
        <v/>
      </c>
      <c r="J45" s="9" t="n"/>
      <c r="K45" s="8">
        <f>IF(J45="","",G45*J45)</f>
        <v/>
      </c>
      <c r="L45" s="8">
        <f>IF(J45="",I45,K45)</f>
        <v/>
      </c>
      <c r="M45" s="8">
        <f>IF(J45="","",K45-I45)</f>
        <v/>
      </c>
      <c r="N45" s="10" t="n"/>
      <c r="O45" s="7" t="inlineStr">
        <is>
          <t>Belum</t>
        </is>
      </c>
      <c r="P45" s="6" t="inlineStr">
        <is>
          <t>Air balik masuk dari atas, jauh dari pompa</t>
        </is>
      </c>
    </row>
    <row r="46">
      <c r="A46" s="5" t="n">
        <v>37</v>
      </c>
      <c r="B46" s="6" t="inlineStr">
        <is>
          <t>Corong plastik</t>
        </is>
      </c>
      <c r="C46" s="6" t="inlineStr">
        <is>
          <t>Ø ± 8 cm</t>
        </is>
      </c>
      <c r="D46" s="6" t="inlineStr">
        <is>
          <t>Penampung air jatuh dari leher angsa (anti sifon)</t>
        </is>
      </c>
      <c r="E46" s="5" t="inlineStr">
        <is>
          <t>Inti</t>
        </is>
      </c>
      <c r="F46" s="5" t="inlineStr">
        <is>
          <t>pcs</t>
        </is>
      </c>
      <c r="G46" s="7" t="n">
        <v>1</v>
      </c>
      <c r="H46" s="8" t="n">
        <v>8000</v>
      </c>
      <c r="I46" s="8">
        <f>G46*H46</f>
        <v/>
      </c>
      <c r="J46" s="9" t="n"/>
      <c r="K46" s="8">
        <f>IF(J46="","",G46*J46)</f>
        <v/>
      </c>
      <c r="L46" s="8">
        <f>IF(J46="",I46,K46)</f>
        <v/>
      </c>
      <c r="M46" s="8">
        <f>IF(J46="","",K46-I46)</f>
        <v/>
      </c>
      <c r="N46" s="10" t="n"/>
      <c r="O46" s="7" t="inlineStr">
        <is>
          <t>Belum</t>
        </is>
      </c>
      <c r="P46" s="6" t="inlineStr"/>
    </row>
    <row r="47">
      <c r="A47" s="5" t="n">
        <v>38</v>
      </c>
      <c r="B47" s="6" t="inlineStr">
        <is>
          <t>Keran kuras 1/2"</t>
        </is>
      </c>
      <c r="C47" s="6" t="inlineStr"/>
      <c r="D47" s="6" t="inlineStr">
        <is>
          <t>Pengurasan tangki (cegah lumut &amp; jentik)</t>
        </is>
      </c>
      <c r="E47" s="5" t="inlineStr">
        <is>
          <t>Inti</t>
        </is>
      </c>
      <c r="F47" s="5" t="inlineStr">
        <is>
          <t>pcs</t>
        </is>
      </c>
      <c r="G47" s="7" t="n">
        <v>1</v>
      </c>
      <c r="H47" s="8" t="n">
        <v>15000</v>
      </c>
      <c r="I47" s="8">
        <f>G47*H47</f>
        <v/>
      </c>
      <c r="J47" s="9" t="n"/>
      <c r="K47" s="8">
        <f>IF(J47="","",G47*J47)</f>
        <v/>
      </c>
      <c r="L47" s="8">
        <f>IF(J47="",I47,K47)</f>
        <v/>
      </c>
      <c r="M47" s="8">
        <f>IF(J47="","",K47-I47)</f>
        <v/>
      </c>
      <c r="N47" s="10" t="n"/>
      <c r="O47" s="7" t="inlineStr">
        <is>
          <t>Belum</t>
        </is>
      </c>
      <c r="P47" s="6" t="inlineStr"/>
    </row>
    <row r="48">
      <c r="A48" s="5" t="n">
        <v>39</v>
      </c>
      <c r="B48" s="6" t="inlineStr">
        <is>
          <t>Tabung manometer bening</t>
        </is>
      </c>
      <c r="C48" s="6" t="inlineStr">
        <is>
          <t>Akrilik OD 10 / ID 7 mm, 40 cm — satu batch, ID sama</t>
        </is>
      </c>
      <c r="D48" s="6" t="inlineStr">
        <is>
          <t>Kolom manometer 1–5</t>
        </is>
      </c>
      <c r="E48" s="5" t="inlineStr">
        <is>
          <t>Inti</t>
        </is>
      </c>
      <c r="F48" s="5" t="inlineStr">
        <is>
          <t>pcs</t>
        </is>
      </c>
      <c r="G48" s="7" t="n">
        <v>5</v>
      </c>
      <c r="H48" s="8" t="n">
        <v>15000</v>
      </c>
      <c r="I48" s="8">
        <f>G48*H48</f>
        <v/>
      </c>
      <c r="J48" s="9" t="n"/>
      <c r="K48" s="8">
        <f>IF(J48="","",G48*J48)</f>
        <v/>
      </c>
      <c r="L48" s="8">
        <f>IF(J48="",I48,K48)</f>
        <v/>
      </c>
      <c r="M48" s="8">
        <f>IF(J48="","",K48-I48)</f>
        <v/>
      </c>
      <c r="N48" s="10" t="n"/>
      <c r="O48" s="7" t="inlineStr">
        <is>
          <t>Belum</t>
        </is>
      </c>
      <c r="P48" s="6" t="inlineStr">
        <is>
          <t>ID harus identik: beda kapilaritas masuk ke Δh</t>
        </is>
      </c>
    </row>
    <row r="49">
      <c r="A49" s="5" t="n">
        <v>40</v>
      </c>
      <c r="B49" s="6" t="inlineStr">
        <is>
          <t>Selang bening ID 6 mm</t>
        </is>
      </c>
      <c r="C49" s="6" t="inlineStr">
        <is>
          <t>Silikon / PVC</t>
        </is>
      </c>
      <c r="D49" s="6" t="inlineStr">
        <is>
          <t>Sadap → tabung, pipa limpah panel</t>
        </is>
      </c>
      <c r="E49" s="5" t="inlineStr">
        <is>
          <t>Inti</t>
        </is>
      </c>
      <c r="F49" s="5" t="inlineStr">
        <is>
          <t>m</t>
        </is>
      </c>
      <c r="G49" s="7" t="n">
        <v>6</v>
      </c>
      <c r="H49" s="8" t="n">
        <v>5000</v>
      </c>
      <c r="I49" s="8">
        <f>G49*H49</f>
        <v/>
      </c>
      <c r="J49" s="9" t="n"/>
      <c r="K49" s="8">
        <f>IF(J49="","",G49*J49)</f>
        <v/>
      </c>
      <c r="L49" s="8">
        <f>IF(J49="",I49,K49)</f>
        <v/>
      </c>
      <c r="M49" s="8">
        <f>IF(J49="","",K49-I49)</f>
        <v/>
      </c>
      <c r="N49" s="10" t="n"/>
      <c r="O49" s="7" t="inlineStr">
        <is>
          <t>Belum</t>
        </is>
      </c>
      <c r="P49" s="6" t="inlineStr"/>
    </row>
    <row r="50">
      <c r="A50" s="5" t="n">
        <v>41</v>
      </c>
      <c r="B50" s="6" t="inlineStr">
        <is>
          <t>Nipple kuningan barb 6 mm</t>
        </is>
      </c>
      <c r="C50" s="6" t="inlineStr">
        <is>
          <t>Ulir M5 / 1/8"</t>
        </is>
      </c>
      <c r="D50" s="6" t="inlineStr">
        <is>
          <t>Titik sadap di tabung akrilik (sadap 1, 3, 4, 5)</t>
        </is>
      </c>
      <c r="E50" s="5" t="inlineStr">
        <is>
          <t>Inti</t>
        </is>
      </c>
      <c r="F50" s="5" t="inlineStr">
        <is>
          <t>pcs</t>
        </is>
      </c>
      <c r="G50" s="7" t="n">
        <v>4</v>
      </c>
      <c r="H50" s="8" t="n">
        <v>8000</v>
      </c>
      <c r="I50" s="8">
        <f>G50*H50</f>
        <v/>
      </c>
      <c r="J50" s="9" t="n">
        <v>30000</v>
      </c>
      <c r="K50" s="8">
        <f>IF(J50="","",G50*J50)</f>
        <v/>
      </c>
      <c r="L50" s="8">
        <f>IF(J50="",I50,K50)</f>
        <v/>
      </c>
      <c r="M50" s="8">
        <f>IF(J50="","",K50-I50)</f>
        <v/>
      </c>
      <c r="N50" s="10" t="n"/>
      <c r="O50" s="7" t="inlineStr">
        <is>
          <t>Belum</t>
        </is>
      </c>
      <c r="P50" s="6" t="inlineStr">
        <is>
          <t>Sadap 2 sudah menyatu dengan venturi</t>
        </is>
      </c>
    </row>
    <row r="51">
      <c r="A51" s="5" t="n">
        <v>42</v>
      </c>
      <c r="B51" s="6" t="inlineStr">
        <is>
          <t>Klem penjepit selang</t>
        </is>
      </c>
      <c r="C51" s="6" t="inlineStr">
        <is>
          <t>Pinch clamp</t>
        </is>
      </c>
      <c r="D51" s="6" t="inlineStr">
        <is>
          <t>Buang udara per selang</t>
        </is>
      </c>
      <c r="E51" s="5" t="inlineStr">
        <is>
          <t>Inti</t>
        </is>
      </c>
      <c r="F51" s="5" t="inlineStr">
        <is>
          <t>pcs</t>
        </is>
      </c>
      <c r="G51" s="7" t="n">
        <v>5</v>
      </c>
      <c r="H51" s="8" t="n">
        <v>3000</v>
      </c>
      <c r="I51" s="8">
        <f>G51*H51</f>
        <v/>
      </c>
      <c r="J51" s="9" t="n"/>
      <c r="K51" s="8">
        <f>IF(J51="","",G51*J51)</f>
        <v/>
      </c>
      <c r="L51" s="8">
        <f>IF(J51="",I51,K51)</f>
        <v/>
      </c>
      <c r="M51" s="8">
        <f>IF(J51="","",K51-I51)</f>
        <v/>
      </c>
      <c r="N51" s="10" t="n"/>
      <c r="O51" s="7" t="inlineStr">
        <is>
          <t>Belum</t>
        </is>
      </c>
      <c r="P51" s="6" t="inlineStr"/>
    </row>
    <row r="52">
      <c r="A52" s="5" t="n">
        <v>43</v>
      </c>
      <c r="B52" s="6" t="inlineStr">
        <is>
          <t>Peredam kolom</t>
        </is>
      </c>
      <c r="C52" s="6" t="inlineStr">
        <is>
          <t>Jarum tumpul 18–20 G / pipa kapiler</t>
        </is>
      </c>
      <c r="D52" s="6" t="inlineStr">
        <is>
          <t>Redam getaran kolom akibat pompa</t>
        </is>
      </c>
      <c r="E52" s="5" t="inlineStr">
        <is>
          <t>Inti</t>
        </is>
      </c>
      <c r="F52" s="5" t="inlineStr">
        <is>
          <t>pcs</t>
        </is>
      </c>
      <c r="G52" s="7" t="n">
        <v>5</v>
      </c>
      <c r="H52" s="8" t="n">
        <v>3000</v>
      </c>
      <c r="I52" s="8">
        <f>G52*H52</f>
        <v/>
      </c>
      <c r="J52" s="9" t="n"/>
      <c r="K52" s="8">
        <f>IF(J52="","",G52*J52)</f>
        <v/>
      </c>
      <c r="L52" s="8">
        <f>IF(J52="",I52,K52)</f>
        <v/>
      </c>
      <c r="M52" s="8">
        <f>IF(J52="","",K52-I52)</f>
        <v/>
      </c>
      <c r="N52" s="10" t="n"/>
      <c r="O52" s="7" t="inlineStr">
        <is>
          <t>Belum</t>
        </is>
      </c>
      <c r="P52" s="6" t="inlineStr"/>
    </row>
    <row r="53">
      <c r="A53" s="5" t="n">
        <v>44</v>
      </c>
      <c r="B53" s="6" t="inlineStr">
        <is>
          <t>Manifold limpah manometer</t>
        </is>
      </c>
      <c r="C53" s="6" t="inlineStr">
        <is>
          <t>Talang di atas tabung + selang ke tangki</t>
        </is>
      </c>
      <c r="D53" s="6" t="inlineStr">
        <is>
          <t>Air yang meluap kembali ke tangki, tidak ke elektronik</t>
        </is>
      </c>
      <c r="E53" s="5" t="inlineStr">
        <is>
          <t>Inti</t>
        </is>
      </c>
      <c r="F53" s="5" t="inlineStr">
        <is>
          <t>set</t>
        </is>
      </c>
      <c r="G53" s="7" t="n">
        <v>1</v>
      </c>
      <c r="H53" s="8" t="n">
        <v>25000</v>
      </c>
      <c r="I53" s="8">
        <f>G53*H53</f>
        <v/>
      </c>
      <c r="J53" s="9" t="n"/>
      <c r="K53" s="8">
        <f>IF(J53="","",G53*J53)</f>
        <v/>
      </c>
      <c r="L53" s="8">
        <f>IF(J53="",I53,K53)</f>
        <v/>
      </c>
      <c r="M53" s="8">
        <f>IF(J53="","",K53-I53)</f>
        <v/>
      </c>
      <c r="N53" s="10" t="n"/>
      <c r="O53" s="7" t="inlineStr">
        <is>
          <t>Belum</t>
        </is>
      </c>
      <c r="P53" s="6" t="inlineStr"/>
    </row>
    <row r="54">
      <c r="A54" s="5" t="n">
        <v>45</v>
      </c>
      <c r="B54" s="11" t="inlineStr">
        <is>
          <t>Tabung akrilik OD 19 / ID 13 mm</t>
        </is>
      </c>
      <c r="C54" s="6" t="inlineStr">
        <is>
          <t>1 m</t>
        </is>
      </c>
      <c r="D54" s="6" t="inlineStr">
        <is>
          <t>Pipa zona C</t>
        </is>
      </c>
      <c r="E54" s="5" t="inlineStr">
        <is>
          <t>Lengkap</t>
        </is>
      </c>
      <c r="F54" s="5" t="inlineStr">
        <is>
          <t>batang</t>
        </is>
      </c>
      <c r="G54" s="7" t="n">
        <v>1</v>
      </c>
      <c r="H54" s="8" t="n">
        <v>60000</v>
      </c>
      <c r="I54" s="8">
        <f>G54*H54</f>
        <v/>
      </c>
      <c r="J54" s="9" t="n"/>
      <c r="K54" s="8">
        <f>IF(J54="","",G54*J54)</f>
        <v/>
      </c>
      <c r="L54" s="8">
        <f>IF(J54="",I54,K54)</f>
        <v/>
      </c>
      <c r="M54" s="8">
        <f>IF(J54="","",K54-I54)</f>
        <v/>
      </c>
      <c r="N54" s="10" t="n"/>
      <c r="O54" s="7" t="inlineStr">
        <is>
          <t>Belum</t>
        </is>
      </c>
      <c r="P54" s="6" t="inlineStr"/>
    </row>
    <row r="55">
      <c r="A55" s="5" t="n">
        <v>46</v>
      </c>
      <c r="B55" s="11" t="inlineStr">
        <is>
          <t>Reducer 19 → 13 mm (cetak 3D)</t>
        </is>
      </c>
      <c r="C55" s="6" t="inlineStr">
        <is>
          <t>Dengan nipple sadap 6</t>
        </is>
      </c>
      <c r="D55" s="6" t="inlineStr">
        <is>
          <t>Penyempitan zona C</t>
        </is>
      </c>
      <c r="E55" s="5" t="inlineStr">
        <is>
          <t>Lengkap</t>
        </is>
      </c>
      <c r="F55" s="5" t="inlineStr">
        <is>
          <t>pcs</t>
        </is>
      </c>
      <c r="G55" s="7" t="n">
        <v>1</v>
      </c>
      <c r="H55" s="8" t="n">
        <v>30000</v>
      </c>
      <c r="I55" s="8">
        <f>G55*H55</f>
        <v/>
      </c>
      <c r="J55" s="9" t="n"/>
      <c r="K55" s="8">
        <f>IF(J55="","",G55*J55)</f>
        <v/>
      </c>
      <c r="L55" s="8">
        <f>IF(J55="",I55,K55)</f>
        <v/>
      </c>
      <c r="M55" s="8">
        <f>IF(J55="","",K55-I55)</f>
        <v/>
      </c>
      <c r="N55" s="10" t="n"/>
      <c r="O55" s="7" t="inlineStr">
        <is>
          <t>Belum</t>
        </is>
      </c>
      <c r="P55" s="6" t="inlineStr"/>
    </row>
    <row r="56">
      <c r="A56" s="5" t="n">
        <v>47</v>
      </c>
      <c r="B56" s="11" t="inlineStr">
        <is>
          <t>Tabung manometer ke-6</t>
        </is>
      </c>
      <c r="C56" s="6" t="inlineStr">
        <is>
          <t>Sama dengan tabung 1–5</t>
        </is>
      </c>
      <c r="D56" s="6" t="inlineStr">
        <is>
          <t>Kolom zona C / tabung pitot</t>
        </is>
      </c>
      <c r="E56" s="5" t="inlineStr">
        <is>
          <t>Lengkap</t>
        </is>
      </c>
      <c r="F56" s="5" t="inlineStr">
        <is>
          <t>pcs</t>
        </is>
      </c>
      <c r="G56" s="7" t="n">
        <v>1</v>
      </c>
      <c r="H56" s="8" t="n">
        <v>15000</v>
      </c>
      <c r="I56" s="8">
        <f>G56*H56</f>
        <v/>
      </c>
      <c r="J56" s="9" t="n"/>
      <c r="K56" s="8">
        <f>IF(J56="","",G56*J56)</f>
        <v/>
      </c>
      <c r="L56" s="8">
        <f>IF(J56="",I56,K56)</f>
        <v/>
      </c>
      <c r="M56" s="8">
        <f>IF(J56="","",K56-I56)</f>
        <v/>
      </c>
      <c r="N56" s="10" t="n"/>
      <c r="O56" s="7" t="inlineStr">
        <is>
          <t>Belum</t>
        </is>
      </c>
      <c r="P56" s="6" t="inlineStr">
        <is>
          <t>Bisa juga untuk opsi pitot di paket inti</t>
        </is>
      </c>
    </row>
    <row r="57">
      <c r="A57" s="5" t="n">
        <v>48</v>
      </c>
      <c r="B57" s="11" t="inlineStr">
        <is>
          <t>Jarum stainless (tabung pitot)</t>
        </is>
      </c>
      <c r="C57" s="6" t="inlineStr">
        <is>
          <t>Ø ± 1,2 mm, dibengkokkan menghadap arus</t>
        </is>
      </c>
      <c r="D57" s="6" t="inlineStr">
        <is>
          <t>Baca energi total di leher venturi</t>
        </is>
      </c>
      <c r="E57" s="5" t="inlineStr">
        <is>
          <t>Opsional</t>
        </is>
      </c>
      <c r="F57" s="5" t="inlineStr">
        <is>
          <t>pcs</t>
        </is>
      </c>
      <c r="G57" s="7" t="n">
        <v>1</v>
      </c>
      <c r="H57" s="8" t="n">
        <v>10000</v>
      </c>
      <c r="I57" s="8">
        <f>G57*H57</f>
        <v/>
      </c>
      <c r="J57" s="9" t="n"/>
      <c r="K57" s="8">
        <f>IF(J57="","",G57*J57)</f>
        <v/>
      </c>
      <c r="L57" s="8">
        <f>IF(J57="",I57,K57)</f>
        <v/>
      </c>
      <c r="M57" s="8">
        <f>IF(J57="","",K57-I57)</f>
        <v/>
      </c>
      <c r="N57" s="10" t="n"/>
      <c r="O57" s="7" t="inlineStr">
        <is>
          <t>Belum</t>
        </is>
      </c>
      <c r="P57" s="6" t="inlineStr"/>
    </row>
    <row r="58">
      <c r="A58" s="12" t="n"/>
      <c r="B58" s="12" t="inlineStr">
        <is>
          <t>Subtotal Mekanis — Hidrolik — paket inti</t>
        </is>
      </c>
      <c r="C58" s="12" t="n"/>
      <c r="D58" s="12" t="n"/>
      <c r="E58" s="12" t="n"/>
      <c r="F58" s="12" t="n"/>
      <c r="G58" s="12" t="n"/>
      <c r="H58" s="12" t="n"/>
      <c r="I58" s="13">
        <f>SUMIFS(I34:I57,E34:E57,"Inti")</f>
        <v/>
      </c>
      <c r="J58" s="12" t="n"/>
      <c r="K58" s="13">
        <f>SUMIFS(K34:K57,E34:E57,"Inti")</f>
        <v/>
      </c>
      <c r="L58" s="13">
        <f>SUMIFS(L34:L57,E34:E57,"Inti")</f>
        <v/>
      </c>
      <c r="M58" s="12" t="n"/>
      <c r="N58" s="12" t="n"/>
      <c r="O58" s="12" t="n"/>
      <c r="P58" s="12" t="n"/>
    </row>
    <row r="59"/>
    <row r="60">
      <c r="A60" s="4" t="inlineStr">
        <is>
          <t>C. MEKANIS — STRUKTUR &amp; PANEL</t>
        </is>
      </c>
    </row>
    <row r="61">
      <c r="A61" s="5" t="n">
        <v>49</v>
      </c>
      <c r="B61" s="6" t="inlineStr">
        <is>
          <t>Pelat dasar</t>
        </is>
      </c>
      <c r="C61" s="6" t="inlineStr">
        <is>
          <t>Multipleks 18 mm atau akrilik, ± 100 × 35 cm</t>
        </is>
      </c>
      <c r="D61" s="6" t="inlineStr">
        <is>
          <t>Alas seluruh alat</t>
        </is>
      </c>
      <c r="E61" s="5" t="inlineStr">
        <is>
          <t>Inti</t>
        </is>
      </c>
      <c r="F61" s="5" t="inlineStr">
        <is>
          <t>pcs</t>
        </is>
      </c>
      <c r="G61" s="7" t="n">
        <v>1</v>
      </c>
      <c r="H61" s="8" t="n">
        <v>90000</v>
      </c>
      <c r="I61" s="8">
        <f>G61*H61</f>
        <v/>
      </c>
      <c r="J61" s="9" t="n"/>
      <c r="K61" s="8">
        <f>IF(J61="","",G61*J61)</f>
        <v/>
      </c>
      <c r="L61" s="8">
        <f>IF(J61="",I61,K61)</f>
        <v/>
      </c>
      <c r="M61" s="8">
        <f>IF(J61="","",K61-I61)</f>
        <v/>
      </c>
      <c r="N61" s="10" t="n"/>
      <c r="O61" s="7" t="inlineStr">
        <is>
          <t>Belum</t>
        </is>
      </c>
      <c r="P61" s="6" t="inlineStr"/>
    </row>
    <row r="62">
      <c r="A62" s="5" t="n">
        <v>50</v>
      </c>
      <c r="B62" s="6" t="inlineStr">
        <is>
          <t>Rangka tegak</t>
        </is>
      </c>
      <c r="C62" s="6" t="inlineStr">
        <is>
          <t>Hollow aluminium 20 × 20 mm (atau kayu)</t>
        </is>
      </c>
      <c r="D62" s="6" t="inlineStr">
        <is>
          <t>Penyangga pipa &amp; panel</t>
        </is>
      </c>
      <c r="E62" s="5" t="inlineStr">
        <is>
          <t>Inti</t>
        </is>
      </c>
      <c r="F62" s="5" t="inlineStr">
        <is>
          <t>m</t>
        </is>
      </c>
      <c r="G62" s="7" t="n">
        <v>3</v>
      </c>
      <c r="H62" s="8" t="n">
        <v>35000</v>
      </c>
      <c r="I62" s="8">
        <f>G62*H62</f>
        <v/>
      </c>
      <c r="J62" s="9" t="n"/>
      <c r="K62" s="8">
        <f>IF(J62="","",G62*J62)</f>
        <v/>
      </c>
      <c r="L62" s="8">
        <f>IF(J62="",I62,K62)</f>
        <v/>
      </c>
      <c r="M62" s="8">
        <f>IF(J62="","",K62-I62)</f>
        <v/>
      </c>
      <c r="N62" s="10" t="n"/>
      <c r="O62" s="7" t="inlineStr">
        <is>
          <t>Belum</t>
        </is>
      </c>
      <c r="P62" s="6" t="inlineStr"/>
    </row>
    <row r="63">
      <c r="A63" s="5" t="n">
        <v>51</v>
      </c>
      <c r="B63" s="6" t="inlineStr">
        <is>
          <t>Papan panel manometer</t>
        </is>
      </c>
      <c r="C63" s="6" t="inlineStr">
        <is>
          <t>PVC board / akrilik putih ± 45 × 40 cm</t>
        </is>
      </c>
      <c r="D63" s="6" t="inlineStr">
        <is>
          <t>Latar tabung &amp; skala</t>
        </is>
      </c>
      <c r="E63" s="5" t="inlineStr">
        <is>
          <t>Inti</t>
        </is>
      </c>
      <c r="F63" s="5" t="inlineStr">
        <is>
          <t>pcs</t>
        </is>
      </c>
      <c r="G63" s="7" t="n">
        <v>1</v>
      </c>
      <c r="H63" s="8" t="n">
        <v>50000</v>
      </c>
      <c r="I63" s="8">
        <f>G63*H63</f>
        <v/>
      </c>
      <c r="J63" s="9" t="n"/>
      <c r="K63" s="8">
        <f>IF(J63="","",G63*J63)</f>
        <v/>
      </c>
      <c r="L63" s="8">
        <f>IF(J63="",I63,K63)</f>
        <v/>
      </c>
      <c r="M63" s="8">
        <f>IF(J63="","",K63-I63)</f>
        <v/>
      </c>
      <c r="N63" s="10" t="n"/>
      <c r="O63" s="7" t="inlineStr">
        <is>
          <t>Belum</t>
        </is>
      </c>
      <c r="P63" s="6" t="inlineStr"/>
    </row>
    <row r="64">
      <c r="A64" s="5" t="n">
        <v>52</v>
      </c>
      <c r="B64" s="6" t="inlineStr">
        <is>
          <t>Cetak stiker skala &amp; peta pipa</t>
        </is>
      </c>
      <c r="C64" s="6" t="inlineStr">
        <is>
          <t>Vinyl: skala 0–350 mm, garis merah z, skala kedua, kode warna</t>
        </is>
      </c>
      <c r="D64" s="6" t="inlineStr">
        <is>
          <t>Skala baca &amp; petunjuk untuk siswa</t>
        </is>
      </c>
      <c r="E64" s="5" t="inlineStr">
        <is>
          <t>Inti</t>
        </is>
      </c>
      <c r="F64" s="5" t="inlineStr">
        <is>
          <t>lembar</t>
        </is>
      </c>
      <c r="G64" s="7" t="n">
        <v>1</v>
      </c>
      <c r="H64" s="8" t="n">
        <v>30000</v>
      </c>
      <c r="I64" s="8">
        <f>G64*H64</f>
        <v/>
      </c>
      <c r="J64" s="9" t="n"/>
      <c r="K64" s="8">
        <f>IF(J64="","",G64*J64)</f>
        <v/>
      </c>
      <c r="L64" s="8">
        <f>IF(J64="",I64,K64)</f>
        <v/>
      </c>
      <c r="M64" s="8">
        <f>IF(J64="","",K64-I64)</f>
        <v/>
      </c>
      <c r="N64" s="10" t="n"/>
      <c r="O64" s="7" t="inlineStr">
        <is>
          <t>Belum</t>
        </is>
      </c>
      <c r="P64" s="6" t="inlineStr"/>
    </row>
    <row r="65">
      <c r="A65" s="5" t="n">
        <v>53</v>
      </c>
      <c r="B65" s="6" t="inlineStr">
        <is>
          <t>Klem pipa (saddle / U-clamp)</t>
        </is>
      </c>
      <c r="C65" s="6" t="inlineStr">
        <is>
          <t>3/4" &amp; 25 mm</t>
        </is>
      </c>
      <c r="D65" s="6" t="inlineStr">
        <is>
          <t>Tahan pipa ke rangka</t>
        </is>
      </c>
      <c r="E65" s="5" t="inlineStr">
        <is>
          <t>Inti</t>
        </is>
      </c>
      <c r="F65" s="5" t="inlineStr">
        <is>
          <t>pcs</t>
        </is>
      </c>
      <c r="G65" s="7" t="n">
        <v>10</v>
      </c>
      <c r="H65" s="8" t="n">
        <v>2500</v>
      </c>
      <c r="I65" s="8">
        <f>G65*H65</f>
        <v/>
      </c>
      <c r="J65" s="9" t="n"/>
      <c r="K65" s="8">
        <f>IF(J65="","",G65*J65)</f>
        <v/>
      </c>
      <c r="L65" s="8">
        <f>IF(J65="",I65,K65)</f>
        <v/>
      </c>
      <c r="M65" s="8">
        <f>IF(J65="","",K65-I65)</f>
        <v/>
      </c>
      <c r="N65" s="10" t="n"/>
      <c r="O65" s="7" t="inlineStr">
        <is>
          <t>Belum</t>
        </is>
      </c>
      <c r="P65" s="6" t="inlineStr"/>
    </row>
    <row r="66">
      <c r="A66" s="5" t="n">
        <v>54</v>
      </c>
      <c r="B66" s="6" t="inlineStr">
        <is>
          <t>Klip tabung manometer</t>
        </is>
      </c>
      <c r="C66" s="6" t="inlineStr">
        <is>
          <t>Clip 10 mm</t>
        </is>
      </c>
      <c r="D66" s="6" t="inlineStr">
        <is>
          <t>Tahan tabung di panel</t>
        </is>
      </c>
      <c r="E66" s="5" t="inlineStr">
        <is>
          <t>Inti</t>
        </is>
      </c>
      <c r="F66" s="5" t="inlineStr">
        <is>
          <t>pcs</t>
        </is>
      </c>
      <c r="G66" s="7" t="n">
        <v>10</v>
      </c>
      <c r="H66" s="8" t="n">
        <v>1500</v>
      </c>
      <c r="I66" s="8">
        <f>G66*H66</f>
        <v/>
      </c>
      <c r="J66" s="9" t="n"/>
      <c r="K66" s="8">
        <f>IF(J66="","",G66*J66)</f>
        <v/>
      </c>
      <c r="L66" s="8">
        <f>IF(J66="",I66,K66)</f>
        <v/>
      </c>
      <c r="M66" s="8">
        <f>IF(J66="","",K66-I66)</f>
        <v/>
      </c>
      <c r="N66" s="10" t="n"/>
      <c r="O66" s="7" t="inlineStr">
        <is>
          <t>Belum</t>
        </is>
      </c>
      <c r="P66" s="6" t="inlineStr"/>
    </row>
    <row r="67">
      <c r="A67" s="5" t="n">
        <v>55</v>
      </c>
      <c r="B67" s="6" t="inlineStr">
        <is>
          <t>Baut, mur, sekrup, siku</t>
        </is>
      </c>
      <c r="C67" s="6" t="inlineStr">
        <is>
          <t>Paket campur</t>
        </is>
      </c>
      <c r="D67" s="6" t="inlineStr">
        <is>
          <t>Perakitan rangka &amp; panel</t>
        </is>
      </c>
      <c r="E67" s="5" t="inlineStr">
        <is>
          <t>Inti</t>
        </is>
      </c>
      <c r="F67" s="5" t="inlineStr">
        <is>
          <t>paket</t>
        </is>
      </c>
      <c r="G67" s="7" t="n">
        <v>1</v>
      </c>
      <c r="H67" s="8" t="n">
        <v>35000</v>
      </c>
      <c r="I67" s="8">
        <f>G67*H67</f>
        <v/>
      </c>
      <c r="J67" s="9" t="n"/>
      <c r="K67" s="8">
        <f>IF(J67="","",G67*J67)</f>
        <v/>
      </c>
      <c r="L67" s="8">
        <f>IF(J67="",I67,K67)</f>
        <v/>
      </c>
      <c r="M67" s="8">
        <f>IF(J67="","",K67-I67)</f>
        <v/>
      </c>
      <c r="N67" s="10" t="n"/>
      <c r="O67" s="7" t="inlineStr">
        <is>
          <t>Belum</t>
        </is>
      </c>
      <c r="P67" s="6" t="inlineStr"/>
    </row>
    <row r="68">
      <c r="A68" s="5" t="n">
        <v>56</v>
      </c>
      <c r="B68" s="6" t="inlineStr">
        <is>
          <t>Kaki karet</t>
        </is>
      </c>
      <c r="C68" s="6" t="inlineStr"/>
      <c r="D68" s="6" t="inlineStr">
        <is>
          <t>Stabil &amp; anti gores</t>
        </is>
      </c>
      <c r="E68" s="5" t="inlineStr">
        <is>
          <t>Inti</t>
        </is>
      </c>
      <c r="F68" s="5" t="inlineStr">
        <is>
          <t>pcs</t>
        </is>
      </c>
      <c r="G68" s="7" t="n">
        <v>4</v>
      </c>
      <c r="H68" s="8" t="n">
        <v>3000</v>
      </c>
      <c r="I68" s="8">
        <f>G68*H68</f>
        <v/>
      </c>
      <c r="J68" s="9" t="n"/>
      <c r="K68" s="8">
        <f>IF(J68="","",G68*J68)</f>
        <v/>
      </c>
      <c r="L68" s="8">
        <f>IF(J68="",I68,K68)</f>
        <v/>
      </c>
      <c r="M68" s="8">
        <f>IF(J68="","",K68-I68)</f>
        <v/>
      </c>
      <c r="N68" s="10" t="n"/>
      <c r="O68" s="7" t="inlineStr">
        <is>
          <t>Belum</t>
        </is>
      </c>
      <c r="P68" s="6" t="inlineStr"/>
    </row>
    <row r="69">
      <c r="A69" s="12" t="n"/>
      <c r="B69" s="12" t="inlineStr">
        <is>
          <t>Subtotal Mekanis — Struktur &amp; Panel — paket inti</t>
        </is>
      </c>
      <c r="C69" s="12" t="n"/>
      <c r="D69" s="12" t="n"/>
      <c r="E69" s="12" t="n"/>
      <c r="F69" s="12" t="n"/>
      <c r="G69" s="12" t="n"/>
      <c r="H69" s="12" t="n"/>
      <c r="I69" s="13">
        <f>SUMIFS(I61:I68,E61:E68,"Inti")</f>
        <v/>
      </c>
      <c r="J69" s="12" t="n"/>
      <c r="K69" s="13">
        <f>SUMIFS(K61:K68,E61:E68,"Inti")</f>
        <v/>
      </c>
      <c r="L69" s="13">
        <f>SUMIFS(L61:L68,E61:E68,"Inti")</f>
        <v/>
      </c>
      <c r="M69" s="12" t="n"/>
      <c r="N69" s="12" t="n"/>
      <c r="O69" s="12" t="n"/>
      <c r="P69" s="12" t="n"/>
    </row>
    <row r="70"/>
    <row r="71">
      <c r="A71" s="4" t="inlineStr">
        <is>
          <t>D. BAHAN HABIS PAKAI</t>
        </is>
      </c>
    </row>
    <row r="72">
      <c r="A72" s="5" t="n">
        <v>57</v>
      </c>
      <c r="B72" s="6" t="inlineStr">
        <is>
          <t>Lem PVC</t>
        </is>
      </c>
      <c r="C72" s="6" t="inlineStr"/>
      <c r="D72" s="6" t="inlineStr">
        <is>
          <t>Sambungan PVC</t>
        </is>
      </c>
      <c r="E72" s="5" t="inlineStr">
        <is>
          <t>Inti</t>
        </is>
      </c>
      <c r="F72" s="5" t="inlineStr">
        <is>
          <t>pcs</t>
        </is>
      </c>
      <c r="G72" s="7" t="n">
        <v>1</v>
      </c>
      <c r="H72" s="8" t="n">
        <v>15000</v>
      </c>
      <c r="I72" s="8">
        <f>G72*H72</f>
        <v/>
      </c>
      <c r="J72" s="9" t="n"/>
      <c r="K72" s="8">
        <f>IF(J72="","",G72*J72)</f>
        <v/>
      </c>
      <c r="L72" s="8">
        <f>IF(J72="",I72,K72)</f>
        <v/>
      </c>
      <c r="M72" s="8">
        <f>IF(J72="","",K72-I72)</f>
        <v/>
      </c>
      <c r="N72" s="10" t="n"/>
      <c r="O72" s="7" t="inlineStr">
        <is>
          <t>Belum</t>
        </is>
      </c>
      <c r="P72" s="6" t="inlineStr"/>
    </row>
    <row r="73">
      <c r="A73" s="5" t="n">
        <v>58</v>
      </c>
      <c r="B73" s="6" t="inlineStr">
        <is>
          <t>Lem akrilik (solvent)</t>
        </is>
      </c>
      <c r="C73" s="6" t="inlineStr"/>
      <c r="D73" s="6" t="inlineStr">
        <is>
          <t>Sambungan akrilik</t>
        </is>
      </c>
      <c r="E73" s="5" t="inlineStr">
        <is>
          <t>Inti</t>
        </is>
      </c>
      <c r="F73" s="5" t="inlineStr">
        <is>
          <t>pcs</t>
        </is>
      </c>
      <c r="G73" s="7" t="n">
        <v>1</v>
      </c>
      <c r="H73" s="8" t="n">
        <v>20000</v>
      </c>
      <c r="I73" s="8">
        <f>G73*H73</f>
        <v/>
      </c>
      <c r="J73" s="9" t="n"/>
      <c r="K73" s="8">
        <f>IF(J73="","",G73*J73)</f>
        <v/>
      </c>
      <c r="L73" s="8">
        <f>IF(J73="",I73,K73)</f>
        <v/>
      </c>
      <c r="M73" s="8">
        <f>IF(J73="","",K73-I73)</f>
        <v/>
      </c>
      <c r="N73" s="10" t="n"/>
      <c r="O73" s="7" t="inlineStr">
        <is>
          <t>Belum</t>
        </is>
      </c>
      <c r="P73" s="6" t="inlineStr"/>
    </row>
    <row r="74">
      <c r="A74" s="5" t="n">
        <v>59</v>
      </c>
      <c r="B74" s="6" t="inlineStr">
        <is>
          <t>Sealant silikon akuarium</t>
        </is>
      </c>
      <c r="C74" s="6" t="inlineStr">
        <is>
          <t>Tabung ± 300 mL</t>
        </is>
      </c>
      <c r="D74" s="6" t="inlineStr">
        <is>
          <t>Kedap air sambungan &amp; bulkhead</t>
        </is>
      </c>
      <c r="E74" s="5" t="inlineStr">
        <is>
          <t>Inti</t>
        </is>
      </c>
      <c r="F74" s="5" t="inlineStr">
        <is>
          <t>pcs</t>
        </is>
      </c>
      <c r="G74" s="7" t="n">
        <v>1</v>
      </c>
      <c r="H74" s="8" t="n">
        <v>35000</v>
      </c>
      <c r="I74" s="8">
        <f>G74*H74</f>
        <v/>
      </c>
      <c r="J74" s="9" t="n"/>
      <c r="K74" s="8">
        <f>IF(J74="","",G74*J74)</f>
        <v/>
      </c>
      <c r="L74" s="8">
        <f>IF(J74="",I74,K74)</f>
        <v/>
      </c>
      <c r="M74" s="8">
        <f>IF(J74="","",K74-I74)</f>
        <v/>
      </c>
      <c r="N74" s="10" t="n"/>
      <c r="O74" s="7" t="inlineStr">
        <is>
          <t>Belum</t>
        </is>
      </c>
      <c r="P74" s="6" t="inlineStr"/>
    </row>
    <row r="75">
      <c r="A75" s="5" t="n">
        <v>60</v>
      </c>
      <c r="B75" s="6" t="inlineStr">
        <is>
          <t>Seal tape</t>
        </is>
      </c>
      <c r="C75" s="6" t="inlineStr"/>
      <c r="D75" s="6" t="inlineStr">
        <is>
          <t>Sambungan ulir</t>
        </is>
      </c>
      <c r="E75" s="5" t="inlineStr">
        <is>
          <t>Inti</t>
        </is>
      </c>
      <c r="F75" s="5" t="inlineStr">
        <is>
          <t>roll</t>
        </is>
      </c>
      <c r="G75" s="7" t="n">
        <v>2</v>
      </c>
      <c r="H75" s="8" t="n">
        <v>3000</v>
      </c>
      <c r="I75" s="8">
        <f>G75*H75</f>
        <v/>
      </c>
      <c r="J75" s="9" t="n"/>
      <c r="K75" s="8">
        <f>IF(J75="","",G75*J75)</f>
        <v/>
      </c>
      <c r="L75" s="8">
        <f>IF(J75="",I75,K75)</f>
        <v/>
      </c>
      <c r="M75" s="8">
        <f>IF(J75="","",K75-I75)</f>
        <v/>
      </c>
      <c r="N75" s="10" t="n"/>
      <c r="O75" s="7" t="inlineStr">
        <is>
          <t>Belum</t>
        </is>
      </c>
      <c r="P75" s="6" t="inlineStr"/>
    </row>
    <row r="76">
      <c r="A76" s="5" t="n">
        <v>61</v>
      </c>
      <c r="B76" s="6" t="inlineStr">
        <is>
          <t>Pewarna makanan</t>
        </is>
      </c>
      <c r="C76" s="6" t="inlineStr">
        <is>
          <t>Warna gelap</t>
        </is>
      </c>
      <c r="D76" s="6" t="inlineStr">
        <is>
          <t>Kontras kolom manometer</t>
        </is>
      </c>
      <c r="E76" s="5" t="inlineStr">
        <is>
          <t>Inti</t>
        </is>
      </c>
      <c r="F76" s="5" t="inlineStr">
        <is>
          <t>botol</t>
        </is>
      </c>
      <c r="G76" s="7" t="n">
        <v>1</v>
      </c>
      <c r="H76" s="8" t="n">
        <v>5000</v>
      </c>
      <c r="I76" s="8">
        <f>G76*H76</f>
        <v/>
      </c>
      <c r="J76" s="9" t="n"/>
      <c r="K76" s="8">
        <f>IF(J76="","",G76*J76)</f>
        <v/>
      </c>
      <c r="L76" s="8">
        <f>IF(J76="",I76,K76)</f>
        <v/>
      </c>
      <c r="M76" s="8">
        <f>IF(J76="","",K76-I76)</f>
        <v/>
      </c>
      <c r="N76" s="10" t="n"/>
      <c r="O76" s="7" t="inlineStr">
        <is>
          <t>Belum</t>
        </is>
      </c>
      <c r="P76" s="6" t="inlineStr">
        <is>
          <t>Jangan disuntik untuk visual aliran (seluruh tangki ikut berwarna)</t>
        </is>
      </c>
    </row>
    <row r="77">
      <c r="A77" s="5" t="n">
        <v>62</v>
      </c>
      <c r="B77" s="6" t="inlineStr">
        <is>
          <t>Amplas &amp; perlengkapan finishing</t>
        </is>
      </c>
      <c r="C77" s="6" t="inlineStr"/>
      <c r="D77" s="6" t="inlineStr">
        <is>
          <t>Merapikan hasil cetak &amp; potongan</t>
        </is>
      </c>
      <c r="E77" s="5" t="inlineStr">
        <is>
          <t>Inti</t>
        </is>
      </c>
      <c r="F77" s="5" t="inlineStr">
        <is>
          <t>paket</t>
        </is>
      </c>
      <c r="G77" s="7" t="n">
        <v>1</v>
      </c>
      <c r="H77" s="8" t="n">
        <v>15000</v>
      </c>
      <c r="I77" s="8">
        <f>G77*H77</f>
        <v/>
      </c>
      <c r="J77" s="9" t="n"/>
      <c r="K77" s="8">
        <f>IF(J77="","",G77*J77)</f>
        <v/>
      </c>
      <c r="L77" s="8">
        <f>IF(J77="",I77,K77)</f>
        <v/>
      </c>
      <c r="M77" s="8">
        <f>IF(J77="","",K77-I77)</f>
        <v/>
      </c>
      <c r="N77" s="10" t="n"/>
      <c r="O77" s="7" t="inlineStr">
        <is>
          <t>Belum</t>
        </is>
      </c>
      <c r="P77" s="6" t="inlineStr"/>
    </row>
    <row r="78">
      <c r="A78" s="12" t="n"/>
      <c r="B78" s="12" t="inlineStr">
        <is>
          <t>Subtotal Bahan Habis Pakai — paket inti</t>
        </is>
      </c>
      <c r="C78" s="12" t="n"/>
      <c r="D78" s="12" t="n"/>
      <c r="E78" s="12" t="n"/>
      <c r="F78" s="12" t="n"/>
      <c r="G78" s="12" t="n"/>
      <c r="H78" s="12" t="n"/>
      <c r="I78" s="13">
        <f>SUMIFS(I72:I77,E72:E77,"Inti")</f>
        <v/>
      </c>
      <c r="J78" s="12" t="n"/>
      <c r="K78" s="13">
        <f>SUMIFS(K72:K77,E72:E77,"Inti")</f>
        <v/>
      </c>
      <c r="L78" s="13">
        <f>SUMIFS(L72:L77,E72:E77,"Inti")</f>
        <v/>
      </c>
      <c r="M78" s="12" t="n"/>
      <c r="N78" s="12" t="n"/>
      <c r="O78" s="12" t="n"/>
      <c r="P78" s="12" t="n"/>
    </row>
    <row r="79"/>
    <row r="80">
      <c r="A80" s="4" t="inlineStr">
        <is>
          <t>E. ALAT BANTU &amp; KALIBRASI (isi jumlah 0 jika sudah punya)</t>
        </is>
      </c>
    </row>
    <row r="81">
      <c r="A81" s="5" t="n">
        <v>63</v>
      </c>
      <c r="B81" s="6" t="inlineStr">
        <is>
          <t>Jangka sorong digital</t>
        </is>
      </c>
      <c r="C81" s="6" t="inlineStr">
        <is>
          <t>0–150 mm, resolusi 0,01 mm</t>
        </is>
      </c>
      <c r="D81" s="6" t="inlineStr">
        <is>
          <t>Ukur ID pipa &amp; leher venturi</t>
        </is>
      </c>
      <c r="E81" s="5" t="inlineStr">
        <is>
          <t>Inti</t>
        </is>
      </c>
      <c r="F81" s="5" t="inlineStr">
        <is>
          <t>pcs</t>
        </is>
      </c>
      <c r="G81" s="7" t="n">
        <v>1</v>
      </c>
      <c r="H81" s="8" t="n">
        <v>80000</v>
      </c>
      <c r="I81" s="8">
        <f>G81*H81</f>
        <v/>
      </c>
      <c r="J81" s="9" t="n"/>
      <c r="K81" s="8">
        <f>IF(J81="","",G81*J81)</f>
        <v/>
      </c>
      <c r="L81" s="8">
        <f>IF(J81="",I81,K81)</f>
        <v/>
      </c>
      <c r="M81" s="8">
        <f>IF(J81="","",K81-I81)</f>
        <v/>
      </c>
      <c r="N81" s="10" t="n"/>
      <c r="O81" s="7" t="inlineStr">
        <is>
          <t>Belum</t>
        </is>
      </c>
      <c r="P81" s="6" t="inlineStr">
        <is>
          <t>Isi jumlah 0 kalau sudah punya</t>
        </is>
      </c>
    </row>
    <row r="82">
      <c r="A82" s="5" t="n">
        <v>64</v>
      </c>
      <c r="B82" s="6" t="inlineStr">
        <is>
          <t>Mata bor 9,5 / 10 / 10,5 mm</t>
        </is>
      </c>
      <c r="C82" s="6" t="inlineStr">
        <is>
          <t>Dipakai sebagai batang ukur</t>
        </is>
      </c>
      <c r="D82" s="6" t="inlineStr">
        <is>
          <t>Cek diameter leher venturi</t>
        </is>
      </c>
      <c r="E82" s="5" t="inlineStr">
        <is>
          <t>Inti</t>
        </is>
      </c>
      <c r="F82" s="5" t="inlineStr">
        <is>
          <t>set</t>
        </is>
      </c>
      <c r="G82" s="7" t="n">
        <v>1</v>
      </c>
      <c r="H82" s="8" t="n">
        <v>30000</v>
      </c>
      <c r="I82" s="8">
        <f>G82*H82</f>
        <v/>
      </c>
      <c r="J82" s="9" t="n"/>
      <c r="K82" s="8">
        <f>IF(J82="","",G82*J82)</f>
        <v/>
      </c>
      <c r="L82" s="8">
        <f>IF(J82="",I82,K82)</f>
        <v/>
      </c>
      <c r="M82" s="8">
        <f>IF(J82="","",K82-I82)</f>
        <v/>
      </c>
      <c r="N82" s="10" t="n"/>
      <c r="O82" s="7" t="inlineStr">
        <is>
          <t>Belum</t>
        </is>
      </c>
      <c r="P82" s="6" t="inlineStr">
        <is>
          <t>Pengganti pin gauge yang mahal</t>
        </is>
      </c>
    </row>
    <row r="83">
      <c r="A83" s="5" t="n">
        <v>65</v>
      </c>
      <c r="B83" s="6" t="inlineStr">
        <is>
          <t>Gelas ukur 2 L</t>
        </is>
      </c>
      <c r="C83" s="6" t="inlineStr">
        <is>
          <t>Skala 50 mL</t>
        </is>
      </c>
      <c r="D83" s="6" t="inlineStr">
        <is>
          <t>Kalibrasi volumetrik S1</t>
        </is>
      </c>
      <c r="E83" s="5" t="inlineStr">
        <is>
          <t>Inti</t>
        </is>
      </c>
      <c r="F83" s="5" t="inlineStr">
        <is>
          <t>pcs</t>
        </is>
      </c>
      <c r="G83" s="7" t="n">
        <v>1</v>
      </c>
      <c r="H83" s="8" t="n">
        <v>35000</v>
      </c>
      <c r="I83" s="8">
        <f>G83*H83</f>
        <v/>
      </c>
      <c r="J83" s="9" t="n"/>
      <c r="K83" s="8">
        <f>IF(J83="","",G83*J83)</f>
        <v/>
      </c>
      <c r="L83" s="8">
        <f>IF(J83="",I83,K83)</f>
        <v/>
      </c>
      <c r="M83" s="8">
        <f>IF(J83="","",K83-I83)</f>
        <v/>
      </c>
      <c r="N83" s="10" t="n"/>
      <c r="O83" s="7" t="inlineStr">
        <is>
          <t>Belum</t>
        </is>
      </c>
      <c r="P83" s="6" t="inlineStr">
        <is>
          <t>Stopwatch pakai HP</t>
        </is>
      </c>
    </row>
    <row r="84">
      <c r="A84" s="5" t="n">
        <v>66</v>
      </c>
      <c r="B84" s="6" t="inlineStr">
        <is>
          <t>Ember 15–20 L</t>
        </is>
      </c>
      <c r="C84" s="6" t="inlineStr"/>
      <c r="D84" s="6" t="inlineStr">
        <is>
          <t>Tangki sementara uji bangku</t>
        </is>
      </c>
      <c r="E84" s="5" t="inlineStr">
        <is>
          <t>Inti</t>
        </is>
      </c>
      <c r="F84" s="5" t="inlineStr">
        <is>
          <t>pcs</t>
        </is>
      </c>
      <c r="G84" s="7" t="n">
        <v>1</v>
      </c>
      <c r="H84" s="8" t="n">
        <v>25000</v>
      </c>
      <c r="I84" s="8">
        <f>G84*H84</f>
        <v/>
      </c>
      <c r="J84" s="9" t="n"/>
      <c r="K84" s="8">
        <f>IF(J84="","",G84*J84)</f>
        <v/>
      </c>
      <c r="L84" s="8">
        <f>IF(J84="",I84,K84)</f>
        <v/>
      </c>
      <c r="M84" s="8">
        <f>IF(J84="","",K84-I84)</f>
        <v/>
      </c>
      <c r="N84" s="10" t="n"/>
      <c r="O84" s="7" t="inlineStr">
        <is>
          <t>Belum</t>
        </is>
      </c>
      <c r="P84" s="6" t="inlineStr"/>
    </row>
    <row r="85">
      <c r="A85" s="5" t="n">
        <v>67</v>
      </c>
      <c r="B85" s="6" t="inlineStr">
        <is>
          <t>Waterpass / selang air</t>
        </is>
      </c>
      <c r="C85" s="6" t="inlineStr"/>
      <c r="D85" s="6" t="inlineStr">
        <is>
          <t>Sejajarkan datum &amp; angka 0 skala</t>
        </is>
      </c>
      <c r="E85" s="5" t="inlineStr">
        <is>
          <t>Inti</t>
        </is>
      </c>
      <c r="F85" s="5" t="inlineStr">
        <is>
          <t>pcs</t>
        </is>
      </c>
      <c r="G85" s="7" t="n">
        <v>1</v>
      </c>
      <c r="H85" s="8" t="n">
        <v>25000</v>
      </c>
      <c r="I85" s="8">
        <f>G85*H85</f>
        <v/>
      </c>
      <c r="J85" s="9" t="n"/>
      <c r="K85" s="8">
        <f>IF(J85="","",G85*J85)</f>
        <v/>
      </c>
      <c r="L85" s="8">
        <f>IF(J85="",I85,K85)</f>
        <v/>
      </c>
      <c r="M85" s="8">
        <f>IF(J85="","",K85-I85)</f>
        <v/>
      </c>
      <c r="N85" s="10" t="n"/>
      <c r="O85" s="7" t="inlineStr">
        <is>
          <t>Belum</t>
        </is>
      </c>
      <c r="P85" s="6" t="inlineStr"/>
    </row>
    <row r="86">
      <c r="A86" s="12" t="n"/>
      <c r="B86" s="12" t="inlineStr">
        <is>
          <t>Subtotal Alat Bantu &amp; Kalibrasi — paket inti</t>
        </is>
      </c>
      <c r="C86" s="12" t="n"/>
      <c r="D86" s="12" t="n"/>
      <c r="E86" s="12" t="n"/>
      <c r="F86" s="12" t="n"/>
      <c r="G86" s="12" t="n"/>
      <c r="H86" s="12" t="n"/>
      <c r="I86" s="13">
        <f>SUMIFS(I81:I85,E81:E85,"Inti")</f>
        <v/>
      </c>
      <c r="J86" s="12" t="n"/>
      <c r="K86" s="13">
        <f>SUMIFS(K81:K85,E81:E85,"Inti")</f>
        <v/>
      </c>
      <c r="L86" s="13">
        <f>SUMIFS(L81:L85,E81:E85,"Inti")</f>
        <v/>
      </c>
      <c r="M86" s="12" t="n"/>
      <c r="N86" s="12" t="n"/>
      <c r="O86" s="12" t="n"/>
      <c r="P86" s="12" t="n"/>
    </row>
    <row r="87"/>
    <row r="88">
      <c r="A88" s="4" t="inlineStr">
        <is>
          <t>F. BIAYA LAIN</t>
        </is>
      </c>
    </row>
    <row r="89">
      <c r="A89" s="5" t="n">
        <v>68</v>
      </c>
      <c r="B89" s="6" t="inlineStr">
        <is>
          <t>Ongkos kirim</t>
        </is>
      </c>
      <c r="C89" s="6" t="inlineStr">
        <is>
          <t>Perkiraan beberapa toko</t>
        </is>
      </c>
      <c r="D89" s="6" t="inlineStr"/>
      <c r="E89" s="5" t="inlineStr">
        <is>
          <t>Inti</t>
        </is>
      </c>
      <c r="F89" s="5" t="inlineStr">
        <is>
          <t>paket</t>
        </is>
      </c>
      <c r="G89" s="7" t="n">
        <v>1</v>
      </c>
      <c r="H89" s="8" t="n">
        <v>100000</v>
      </c>
      <c r="I89" s="8">
        <f>G89*H89</f>
        <v/>
      </c>
      <c r="J89" s="9" t="n"/>
      <c r="K89" s="8">
        <f>IF(J89="","",G89*J89)</f>
        <v/>
      </c>
      <c r="L89" s="8">
        <f>IF(J89="",I89,K89)</f>
        <v/>
      </c>
      <c r="M89" s="8">
        <f>IF(J89="","",K89-I89)</f>
        <v/>
      </c>
      <c r="N89" s="10" t="n"/>
      <c r="O89" s="7" t="inlineStr">
        <is>
          <t>Belum</t>
        </is>
      </c>
      <c r="P89" s="6" t="inlineStr">
        <is>
          <t>Sesuaikan setelah checkout</t>
        </is>
      </c>
    </row>
    <row r="90">
      <c r="A90" s="5" t="n">
        <v>69</v>
      </c>
      <c r="B90" s="6" t="inlineStr">
        <is>
          <t>Transport belanja lokal</t>
        </is>
      </c>
      <c r="C90" s="6" t="inlineStr">
        <is>
          <t>Toko bangunan, akrilik, elektronik</t>
        </is>
      </c>
      <c r="D90" s="6" t="inlineStr"/>
      <c r="E90" s="5" t="inlineStr">
        <is>
          <t>Inti</t>
        </is>
      </c>
      <c r="F90" s="5" t="inlineStr">
        <is>
          <t>paket</t>
        </is>
      </c>
      <c r="G90" s="7" t="n">
        <v>1</v>
      </c>
      <c r="H90" s="8" t="n">
        <v>50000</v>
      </c>
      <c r="I90" s="8">
        <f>G90*H90</f>
        <v/>
      </c>
      <c r="J90" s="9" t="n"/>
      <c r="K90" s="8">
        <f>IF(J90="","",G90*J90)</f>
        <v/>
      </c>
      <c r="L90" s="8">
        <f>IF(J90="",I90,K90)</f>
        <v/>
      </c>
      <c r="M90" s="8">
        <f>IF(J90="","",K90-I90)</f>
        <v/>
      </c>
      <c r="N90" s="10" t="n"/>
      <c r="O90" s="7" t="inlineStr">
        <is>
          <t>Belum</t>
        </is>
      </c>
      <c r="P90" s="6" t="inlineStr"/>
    </row>
    <row r="91">
      <c r="A91" s="12" t="n"/>
      <c r="B91" s="12" t="inlineStr">
        <is>
          <t>Subtotal Biaya Lain — paket inti</t>
        </is>
      </c>
      <c r="C91" s="12" t="n"/>
      <c r="D91" s="12" t="n"/>
      <c r="E91" s="12" t="n"/>
      <c r="F91" s="12" t="n"/>
      <c r="G91" s="12" t="n"/>
      <c r="H91" s="12" t="n"/>
      <c r="I91" s="13">
        <f>SUMIFS(I89:I90,E89:E90,"Inti")</f>
        <v/>
      </c>
      <c r="J91" s="12" t="n"/>
      <c r="K91" s="13">
        <f>SUMIFS(K89:K90,E89:E90,"Inti")</f>
        <v/>
      </c>
      <c r="L91" s="13">
        <f>SUMIFS(L89:L90,E89:E90,"Inti")</f>
        <v/>
      </c>
      <c r="M91" s="12" t="n"/>
      <c r="N91" s="12" t="n"/>
      <c r="O91" s="12" t="n"/>
      <c r="P91" s="12" t="n"/>
    </row>
    <row r="92"/>
    <row r="93">
      <c r="A93" s="4" t="inlineStr">
        <is>
          <t>G. JASA</t>
        </is>
      </c>
    </row>
    <row r="94">
      <c r="A94" s="5" t="n">
        <v>70</v>
      </c>
      <c r="B94" s="6" t="inlineStr">
        <is>
          <t>Desain &amp; perhitungan</t>
        </is>
      </c>
      <c r="C94" s="6" t="inlineStr">
        <is>
          <t>Rev. 01–08, profil manometer, sketsa</t>
        </is>
      </c>
      <c r="D94" s="6" t="inlineStr"/>
      <c r="E94" s="5" t="inlineStr">
        <is>
          <t>Inti</t>
        </is>
      </c>
      <c r="F94" s="5" t="inlineStr">
        <is>
          <t>paket</t>
        </is>
      </c>
      <c r="G94" s="7" t="n">
        <v>1</v>
      </c>
      <c r="H94" s="8" t="n">
        <v>250000</v>
      </c>
      <c r="I94" s="8">
        <f>G94*H94</f>
        <v/>
      </c>
      <c r="J94" s="14" t="n"/>
      <c r="K94" s="8">
        <f>IF(J94="","",G94*J94)</f>
        <v/>
      </c>
      <c r="L94" s="8">
        <f>IF(J94="",I94,K94)</f>
        <v/>
      </c>
      <c r="M94" s="8">
        <f>IF(J94="","",K94-I94)</f>
        <v/>
      </c>
      <c r="N94" s="15" t="n"/>
      <c r="O94" s="7" t="inlineStr">
        <is>
          <t>Belum</t>
        </is>
      </c>
      <c r="P94" s="6" t="inlineStr"/>
    </row>
    <row r="95">
      <c r="A95" s="5" t="n">
        <v>71</v>
      </c>
      <c r="B95" s="6" t="inlineStr">
        <is>
          <t>Uji bangku &amp; penyesuaian</t>
        </is>
      </c>
      <c r="C95" s="6" t="inlineStr">
        <is>
          <t>Pompa, S1, katup searah, venturi</t>
        </is>
      </c>
      <c r="D95" s="6" t="inlineStr"/>
      <c r="E95" s="5" t="inlineStr">
        <is>
          <t>Inti</t>
        </is>
      </c>
      <c r="F95" s="5" t="inlineStr">
        <is>
          <t>paket</t>
        </is>
      </c>
      <c r="G95" s="7" t="n">
        <v>1</v>
      </c>
      <c r="H95" s="8" t="n">
        <v>150000</v>
      </c>
      <c r="I95" s="8">
        <f>G95*H95</f>
        <v/>
      </c>
      <c r="J95" s="14" t="n"/>
      <c r="K95" s="8">
        <f>IF(J95="","",G95*J95)</f>
        <v/>
      </c>
      <c r="L95" s="8">
        <f>IF(J95="",I95,K95)</f>
        <v/>
      </c>
      <c r="M95" s="8">
        <f>IF(J95="","",K95-I95)</f>
        <v/>
      </c>
      <c r="N95" s="15" t="n"/>
      <c r="O95" s="7" t="inlineStr">
        <is>
          <t>Belum</t>
        </is>
      </c>
      <c r="P95" s="6" t="inlineStr"/>
    </row>
    <row r="96">
      <c r="A96" s="5" t="n">
        <v>72</v>
      </c>
      <c r="B96" s="6" t="inlineStr">
        <is>
          <t>Perakitan mekanik &amp; hidrolik</t>
        </is>
      </c>
      <c r="C96" s="6" t="inlineStr">
        <is>
          <t>Pipa, venturi, panel manometer, uji bocor 24 jam</t>
        </is>
      </c>
      <c r="D96" s="6" t="inlineStr"/>
      <c r="E96" s="5" t="inlineStr">
        <is>
          <t>Inti</t>
        </is>
      </c>
      <c r="F96" s="5" t="inlineStr">
        <is>
          <t>paket</t>
        </is>
      </c>
      <c r="G96" s="7" t="n">
        <v>1</v>
      </c>
      <c r="H96" s="8" t="n">
        <v>400000</v>
      </c>
      <c r="I96" s="8">
        <f>G96*H96</f>
        <v/>
      </c>
      <c r="J96" s="14" t="n"/>
      <c r="K96" s="8">
        <f>IF(J96="","",G96*J96)</f>
        <v/>
      </c>
      <c r="L96" s="8">
        <f>IF(J96="",I96,K96)</f>
        <v/>
      </c>
      <c r="M96" s="8">
        <f>IF(J96="","",K96-I96)</f>
        <v/>
      </c>
      <c r="N96" s="15" t="n"/>
      <c r="O96" s="7" t="inlineStr">
        <is>
          <t>Belum</t>
        </is>
      </c>
      <c r="P96" s="6" t="inlineStr"/>
    </row>
    <row r="97">
      <c r="A97" s="5" t="n">
        <v>73</v>
      </c>
      <c r="B97" s="6" t="inlineStr">
        <is>
          <t>Elektronik &amp; firmware</t>
        </is>
      </c>
      <c r="C97" s="6" t="inlineStr">
        <is>
          <t>Kontrol PI, ukur periode pulsa, pengaman luapan, LCD, tombol CEK, log serial</t>
        </is>
      </c>
      <c r="D97" s="6" t="inlineStr"/>
      <c r="E97" s="5" t="inlineStr">
        <is>
          <t>Inti</t>
        </is>
      </c>
      <c r="F97" s="5" t="inlineStr">
        <is>
          <t>paket</t>
        </is>
      </c>
      <c r="G97" s="7" t="n">
        <v>1</v>
      </c>
      <c r="H97" s="8" t="n">
        <v>450000</v>
      </c>
      <c r="I97" s="8">
        <f>G97*H97</f>
        <v/>
      </c>
      <c r="J97" s="14" t="n"/>
      <c r="K97" s="8">
        <f>IF(J97="","",G97*J97)</f>
        <v/>
      </c>
      <c r="L97" s="8">
        <f>IF(J97="",I97,K97)</f>
        <v/>
      </c>
      <c r="M97" s="8">
        <f>IF(J97="","",K97-I97)</f>
        <v/>
      </c>
      <c r="N97" s="15" t="n"/>
      <c r="O97" s="7" t="inlineStr">
        <is>
          <t>Belum</t>
        </is>
      </c>
      <c r="P97" s="6" t="inlineStr"/>
    </row>
    <row r="98">
      <c r="A98" s="5" t="n">
        <v>74</v>
      </c>
      <c r="B98" s="6" t="inlineStr">
        <is>
          <t>Kalibrasi &amp; laporan kalibrasi</t>
        </is>
      </c>
      <c r="C98" s="6" t="inlineStr">
        <is>
          <t>Kalibrasi volumetrik S1, uji nol, ukur leher venturi</t>
        </is>
      </c>
      <c r="D98" s="6" t="inlineStr"/>
      <c r="E98" s="5" t="inlineStr">
        <is>
          <t>Inti</t>
        </is>
      </c>
      <c r="F98" s="5" t="inlineStr">
        <is>
          <t>paket</t>
        </is>
      </c>
      <c r="G98" s="7" t="n">
        <v>1</v>
      </c>
      <c r="H98" s="8" t="n">
        <v>150000</v>
      </c>
      <c r="I98" s="8">
        <f>G98*H98</f>
        <v/>
      </c>
      <c r="J98" s="14" t="n"/>
      <c r="K98" s="8">
        <f>IF(J98="","",G98*J98)</f>
        <v/>
      </c>
      <c r="L98" s="8">
        <f>IF(J98="",I98,K98)</f>
        <v/>
      </c>
      <c r="M98" s="8">
        <f>IF(J98="","",K98-I98)</f>
        <v/>
      </c>
      <c r="N98" s="15" t="n"/>
      <c r="O98" s="7" t="inlineStr">
        <is>
          <t>Belum</t>
        </is>
      </c>
      <c r="P98" s="6" t="inlineStr"/>
    </row>
    <row r="99">
      <c r="A99" s="5" t="n">
        <v>75</v>
      </c>
      <c r="B99" s="6" t="inlineStr">
        <is>
          <t>Dokumentasi</t>
        </is>
      </c>
      <c r="C99" s="6" t="inlineStr">
        <is>
          <t>SOP, manual alat, diagram rangkaian</t>
        </is>
      </c>
      <c r="D99" s="6" t="inlineStr"/>
      <c r="E99" s="5" t="inlineStr">
        <is>
          <t>Inti</t>
        </is>
      </c>
      <c r="F99" s="5" t="inlineStr">
        <is>
          <t>paket</t>
        </is>
      </c>
      <c r="G99" s="7" t="n">
        <v>1</v>
      </c>
      <c r="H99" s="8" t="n">
        <v>100000</v>
      </c>
      <c r="I99" s="8">
        <f>G99*H99</f>
        <v/>
      </c>
      <c r="J99" s="14" t="n"/>
      <c r="K99" s="8">
        <f>IF(J99="","",G99*J99)</f>
        <v/>
      </c>
      <c r="L99" s="8">
        <f>IF(J99="",I99,K99)</f>
        <v/>
      </c>
      <c r="M99" s="8">
        <f>IF(J99="","",K99-I99)</f>
        <v/>
      </c>
      <c r="N99" s="15" t="n"/>
      <c r="O99" s="7" t="inlineStr">
        <is>
          <t>Belum</t>
        </is>
      </c>
      <c r="P99" s="6" t="inlineStr">
        <is>
          <t>Bukan LKPD/instrumen penelitian (itu isi skripsi client)</t>
        </is>
      </c>
    </row>
    <row r="100">
      <c r="A100" s="5" t="n">
        <v>76</v>
      </c>
      <c r="B100" s="11" t="inlineStr">
        <is>
          <t>Jasa tambahan paket lengkap</t>
        </is>
      </c>
      <c r="C100" s="6" t="inlineStr">
        <is>
          <t>Zona C + S2 + uji rugi tekanan S2</t>
        </is>
      </c>
      <c r="D100" s="6" t="inlineStr"/>
      <c r="E100" s="5" t="inlineStr">
        <is>
          <t>Lengkap</t>
        </is>
      </c>
      <c r="F100" s="5" t="inlineStr">
        <is>
          <t>paket</t>
        </is>
      </c>
      <c r="G100" s="7" t="n">
        <v>1</v>
      </c>
      <c r="H100" s="8" t="n">
        <v>200000</v>
      </c>
      <c r="I100" s="8">
        <f>G100*H100</f>
        <v/>
      </c>
      <c r="J100" s="14" t="n"/>
      <c r="K100" s="8">
        <f>IF(J100="","",G100*J100)</f>
        <v/>
      </c>
      <c r="L100" s="8">
        <f>IF(J100="",I100,K100)</f>
        <v/>
      </c>
      <c r="M100" s="8">
        <f>IF(J100="","",K100-I100)</f>
        <v/>
      </c>
      <c r="N100" s="15" t="n"/>
      <c r="O100" s="7" t="inlineStr">
        <is>
          <t>Belum</t>
        </is>
      </c>
      <c r="P100" s="6" t="inlineStr"/>
    </row>
    <row r="101">
      <c r="A101" s="12" t="n"/>
      <c r="B101" s="12" t="inlineStr">
        <is>
          <t>Subtotal Jasa — paket inti</t>
        </is>
      </c>
      <c r="C101" s="12" t="n"/>
      <c r="D101" s="12" t="n"/>
      <c r="E101" s="12" t="n"/>
      <c r="F101" s="12" t="n"/>
      <c r="G101" s="12" t="n"/>
      <c r="H101" s="12" t="n"/>
      <c r="I101" s="13">
        <f>SUMIFS(I94:I100,E94:E100,"Inti")</f>
        <v/>
      </c>
      <c r="J101" s="12" t="n"/>
      <c r="K101" s="13">
        <f>SUMIFS(K94:K100,E94:E100,"Inti")</f>
        <v/>
      </c>
      <c r="L101" s="13">
        <f>SUMIFS(L94:L100,E94:E100,"Inti")</f>
        <v/>
      </c>
      <c r="M101" s="12" t="n"/>
      <c r="N101" s="12" t="n"/>
      <c r="O101" s="12" t="n"/>
      <c r="P101" s="12" t="n"/>
    </row>
  </sheetData>
  <autoFilter ref="A5:P102"/>
  <mergeCells count="7">
    <mergeCell ref="A60:P60"/>
    <mergeCell ref="A93:P93"/>
    <mergeCell ref="A80:P80"/>
    <mergeCell ref="A88:P88"/>
    <mergeCell ref="A6:P6"/>
    <mergeCell ref="A33:P33"/>
    <mergeCell ref="A71:P71"/>
  </mergeCells>
  <dataValidations count="2">
    <dataValidation sqref="E6:E102" showDropDown="0" showInputMessage="0" showErrorMessage="0" allowBlank="1" type="list">
      <formula1>"Inti,Lengkap,Opsional"</formula1>
    </dataValidation>
    <dataValidation sqref="O6:O102" showDropDown="0" showInputMessage="0" showErrorMessage="0" allowBlank="1" type="list">
      <formula1>"Belum,Dipesan,Diterima,Batal"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8" customWidth="1" min="3" max="3"/>
    <col width="14" customWidth="1" min="4" max="4"/>
    <col width="15" customWidth="1" min="5" max="5"/>
    <col width="22" customWidth="1" min="6" max="6"/>
    <col width="30" customWidth="1" min="7" max="7"/>
    <col width="10" customWidth="1" min="8" max="8"/>
    <col width="30" customWidth="1" min="9" max="9"/>
  </cols>
  <sheetData>
    <row r="1">
      <c r="A1" s="1" t="inlineStr">
        <is>
          <t>KEUANGAN PROYEK — dana masuk, pengeluaran, sisa</t>
        </is>
      </c>
    </row>
    <row r="2">
      <c r="A2" s="2" t="inlineStr">
        <is>
          <t>Sel kuning diisi. Simpan foto nota di folder anggaran/nota/ lalu tulis nama filenya di kolom File nota; kolom Link otomatis membukanya.</t>
        </is>
      </c>
    </row>
    <row r="3">
      <c r="A3" s="32" t="inlineStr">
        <is>
          <t>Buka folder nota</t>
        </is>
      </c>
    </row>
    <row r="5">
      <c r="A5" s="33" t="inlineStr">
        <is>
          <t>RINGKASAN</t>
        </is>
      </c>
    </row>
    <row r="6">
      <c r="A6" s="34" t="inlineStr">
        <is>
          <t>Dana diterima</t>
        </is>
      </c>
      <c r="B6" s="35" t="n"/>
      <c r="C6" s="35" t="n"/>
      <c r="D6" s="13">
        <f>D18</f>
        <v/>
      </c>
    </row>
    <row r="7">
      <c r="A7" s="34" t="inlineStr">
        <is>
          <t>Sudah dipakai</t>
        </is>
      </c>
      <c r="B7" s="35" t="n"/>
      <c r="C7" s="35" t="n"/>
      <c r="D7" s="13">
        <f>E62</f>
        <v/>
      </c>
    </row>
    <row r="8">
      <c r="A8" s="36" t="inlineStr">
        <is>
          <t>Sisa dana</t>
        </is>
      </c>
      <c r="B8" s="37" t="n"/>
      <c r="C8" s="37" t="n"/>
      <c r="D8" s="38">
        <f>D6-D7</f>
        <v/>
      </c>
      <c r="E8" s="39">
        <f>IF(D8&lt;0,"Dana kurang — minta tambahan","")</f>
        <v/>
      </c>
    </row>
    <row r="10">
      <c r="A10" s="33" t="inlineStr">
        <is>
          <t>1. DANA MASUK</t>
        </is>
      </c>
    </row>
    <row r="11">
      <c r="A11" s="3" t="inlineStr">
        <is>
          <t>Tanggal</t>
        </is>
      </c>
      <c r="B11" s="3" t="inlineStr">
        <is>
          <t>Keterangan</t>
        </is>
      </c>
      <c r="C11" s="3" t="inlineStr"/>
      <c r="D11" s="3" t="inlineStr">
        <is>
          <t>Jumlah</t>
        </is>
      </c>
      <c r="E11" s="3" t="inlineStr"/>
      <c r="F11" s="3" t="inlineStr"/>
      <c r="G11" s="3" t="inlineStr">
        <is>
          <t>File nota / bukti</t>
        </is>
      </c>
      <c r="H11" s="3" t="inlineStr">
        <is>
          <t>Link</t>
        </is>
      </c>
      <c r="I11" s="3" t="inlineStr">
        <is>
          <t>Catatan</t>
        </is>
      </c>
    </row>
    <row r="12">
      <c r="A12" s="40" t="n"/>
      <c r="B12" s="10" t="inlineStr">
        <is>
          <t>DP dari client</t>
        </is>
      </c>
      <c r="C12" s="6" t="n"/>
      <c r="D12" s="9" t="n">
        <v>1000000</v>
      </c>
      <c r="E12" s="6" t="n"/>
      <c r="F12" s="6" t="n"/>
      <c r="G12" s="10" t="n"/>
      <c r="H12" s="6">
        <f>IF(G12="","",HYPERLINK("nota/"&amp;G12,"buka"))</f>
        <v/>
      </c>
      <c r="I12" s="10" t="inlineStr">
        <is>
          <t>Isi tanggal transfer</t>
        </is>
      </c>
    </row>
    <row r="13">
      <c r="A13" s="40" t="n"/>
      <c r="B13" s="10" t="n"/>
      <c r="C13" s="6" t="n"/>
      <c r="D13" s="9" t="n"/>
      <c r="E13" s="6" t="n"/>
      <c r="F13" s="6" t="n"/>
      <c r="G13" s="10" t="n"/>
      <c r="H13" s="6">
        <f>IF(G13="","",HYPERLINK("nota/"&amp;G13,"buka"))</f>
        <v/>
      </c>
      <c r="I13" s="10" t="n"/>
    </row>
    <row r="14">
      <c r="A14" s="40" t="n"/>
      <c r="B14" s="10" t="n"/>
      <c r="C14" s="6" t="n"/>
      <c r="D14" s="9" t="n"/>
      <c r="E14" s="6" t="n"/>
      <c r="F14" s="6" t="n"/>
      <c r="G14" s="10" t="n"/>
      <c r="H14" s="6">
        <f>IF(G14="","",HYPERLINK("nota/"&amp;G14,"buka"))</f>
        <v/>
      </c>
      <c r="I14" s="10" t="n"/>
    </row>
    <row r="15">
      <c r="A15" s="40" t="n"/>
      <c r="B15" s="10" t="n"/>
      <c r="C15" s="6" t="n"/>
      <c r="D15" s="9" t="n"/>
      <c r="E15" s="6" t="n"/>
      <c r="F15" s="6" t="n"/>
      <c r="G15" s="10" t="n"/>
      <c r="H15" s="6">
        <f>IF(G15="","",HYPERLINK("nota/"&amp;G15,"buka"))</f>
        <v/>
      </c>
      <c r="I15" s="10" t="n"/>
    </row>
    <row r="16">
      <c r="A16" s="40" t="n"/>
      <c r="B16" s="10" t="n"/>
      <c r="C16" s="6" t="n"/>
      <c r="D16" s="9" t="n"/>
      <c r="E16" s="6" t="n"/>
      <c r="F16" s="6" t="n"/>
      <c r="G16" s="10" t="n"/>
      <c r="H16" s="6">
        <f>IF(G16="","",HYPERLINK("nota/"&amp;G16,"buka"))</f>
        <v/>
      </c>
      <c r="I16" s="10" t="n"/>
    </row>
    <row r="17">
      <c r="A17" s="40" t="n"/>
      <c r="B17" s="10" t="n"/>
      <c r="C17" s="6" t="n"/>
      <c r="D17" s="9" t="n"/>
      <c r="E17" s="6" t="n"/>
      <c r="F17" s="6" t="n"/>
      <c r="G17" s="10" t="n"/>
      <c r="H17" s="6">
        <f>IF(G17="","",HYPERLINK("nota/"&amp;G17,"buka"))</f>
        <v/>
      </c>
      <c r="I17" s="10" t="n"/>
    </row>
    <row r="18">
      <c r="A18" s="41" t="n"/>
      <c r="B18" s="12" t="inlineStr">
        <is>
          <t>Total dana masuk</t>
        </is>
      </c>
      <c r="C18" s="41" t="n"/>
      <c r="D18" s="13">
        <f>SUM(D12:D17)</f>
        <v/>
      </c>
      <c r="E18" s="41" t="n"/>
      <c r="F18" s="41" t="n"/>
      <c r="G18" s="41" t="n"/>
      <c r="H18" s="41" t="n"/>
      <c r="I18" s="41" t="n"/>
    </row>
    <row r="20">
      <c r="A20" s="33" t="inlineStr">
        <is>
          <t>2. PENGELUARAN</t>
        </is>
      </c>
    </row>
    <row r="21">
      <c r="A21" s="3" t="inlineStr">
        <is>
          <t>Tanggal</t>
        </is>
      </c>
      <c r="B21" s="3" t="inlineStr">
        <is>
          <t>Barang / keperluan</t>
        </is>
      </c>
      <c r="C21" s="3" t="inlineStr">
        <is>
          <t>Jumlah</t>
        </is>
      </c>
      <c r="D21" s="3" t="inlineStr">
        <is>
          <t>Harga satuan</t>
        </is>
      </c>
      <c r="E21" s="3" t="inlineStr">
        <is>
          <t>Total</t>
        </is>
      </c>
      <c r="F21" s="3" t="inlineStr">
        <is>
          <t>Toko</t>
        </is>
      </c>
      <c r="G21" s="3" t="inlineStr">
        <is>
          <t>File nota</t>
        </is>
      </c>
      <c r="H21" s="3" t="inlineStr">
        <is>
          <t>Link</t>
        </is>
      </c>
      <c r="I21" s="3" t="inlineStr">
        <is>
          <t>Catatan</t>
        </is>
      </c>
    </row>
    <row r="22">
      <c r="A22" s="40" t="n"/>
      <c r="B22" s="10" t="inlineStr">
        <is>
          <t>Sensor flow YF-S401 (S2)</t>
        </is>
      </c>
      <c r="C22" s="10" t="n">
        <v>1</v>
      </c>
      <c r="D22" s="9" t="n">
        <v>42211</v>
      </c>
      <c r="E22" s="8">
        <f>IF(D22="","",IF(C22="",1,C22)*D22)</f>
        <v/>
      </c>
      <c r="F22" s="10" t="n"/>
      <c r="G22" s="10" t="n"/>
      <c r="H22" s="6">
        <f>IF(G22="","",HYPERLINK("nota/"&amp;G22,"buka"))</f>
        <v/>
      </c>
      <c r="I22" s="10" t="inlineStr">
        <is>
          <t>Untuk uji rugi tekanan zona C</t>
        </is>
      </c>
    </row>
    <row r="23">
      <c r="A23" s="40" t="n"/>
      <c r="B23" s="10" t="inlineStr">
        <is>
          <t>Sensor flow YF-S201 (S1)</t>
        </is>
      </c>
      <c r="C23" s="10" t="n">
        <v>1</v>
      </c>
      <c r="D23" s="9" t="n">
        <v>29189</v>
      </c>
      <c r="E23" s="8">
        <f>IF(D23="","",IF(C23="",1,C23)*D23)</f>
        <v/>
      </c>
      <c r="F23" s="10" t="n"/>
      <c r="G23" s="10" t="n"/>
      <c r="H23" s="6">
        <f>IF(G23="","",HYPERLINK("nota/"&amp;G23,"buka"))</f>
        <v/>
      </c>
      <c r="I23" s="10" t="inlineStr"/>
    </row>
    <row r="24">
      <c r="A24" s="40" t="n"/>
      <c r="B24" s="10" t="n"/>
      <c r="C24" s="10" t="n"/>
      <c r="D24" s="9" t="n"/>
      <c r="E24" s="8">
        <f>IF(D24="","",IF(C24="",1,C24)*D24)</f>
        <v/>
      </c>
      <c r="F24" s="10" t="n"/>
      <c r="G24" s="10" t="n"/>
      <c r="H24" s="6">
        <f>IF(G24="","",HYPERLINK("nota/"&amp;G24,"buka"))</f>
        <v/>
      </c>
      <c r="I24" s="10" t="n"/>
    </row>
    <row r="25">
      <c r="A25" s="40" t="n"/>
      <c r="B25" s="10" t="n"/>
      <c r="C25" s="10" t="n"/>
      <c r="D25" s="9" t="n"/>
      <c r="E25" s="8">
        <f>IF(D25="","",IF(C25="",1,C25)*D25)</f>
        <v/>
      </c>
      <c r="F25" s="10" t="n"/>
      <c r="G25" s="10" t="n"/>
      <c r="H25" s="6">
        <f>IF(G25="","",HYPERLINK("nota/"&amp;G25,"buka"))</f>
        <v/>
      </c>
      <c r="I25" s="10" t="n"/>
    </row>
    <row r="26">
      <c r="A26" s="40" t="n"/>
      <c r="B26" s="10" t="n"/>
      <c r="C26" s="10" t="n"/>
      <c r="D26" s="9" t="n"/>
      <c r="E26" s="8">
        <f>IF(D26="","",IF(C26="",1,C26)*D26)</f>
        <v/>
      </c>
      <c r="F26" s="10" t="n"/>
      <c r="G26" s="10" t="n"/>
      <c r="H26" s="6">
        <f>IF(G26="","",HYPERLINK("nota/"&amp;G26,"buka"))</f>
        <v/>
      </c>
      <c r="I26" s="10" t="n"/>
    </row>
    <row r="27">
      <c r="A27" s="40" t="n"/>
      <c r="B27" s="10" t="n"/>
      <c r="C27" s="10" t="n"/>
      <c r="D27" s="9" t="n"/>
      <c r="E27" s="8">
        <f>IF(D27="","",IF(C27="",1,C27)*D27)</f>
        <v/>
      </c>
      <c r="F27" s="10" t="n"/>
      <c r="G27" s="10" t="n"/>
      <c r="H27" s="6">
        <f>IF(G27="","",HYPERLINK("nota/"&amp;G27,"buka"))</f>
        <v/>
      </c>
      <c r="I27" s="10" t="n"/>
    </row>
    <row r="28">
      <c r="A28" s="40" t="n"/>
      <c r="B28" s="10" t="n"/>
      <c r="C28" s="10" t="n"/>
      <c r="D28" s="9" t="n"/>
      <c r="E28" s="8">
        <f>IF(D28="","",IF(C28="",1,C28)*D28)</f>
        <v/>
      </c>
      <c r="F28" s="10" t="n"/>
      <c r="G28" s="10" t="n"/>
      <c r="H28" s="6">
        <f>IF(G28="","",HYPERLINK("nota/"&amp;G28,"buka"))</f>
        <v/>
      </c>
      <c r="I28" s="10" t="n"/>
    </row>
    <row r="29">
      <c r="A29" s="40" t="n"/>
      <c r="B29" s="10" t="n"/>
      <c r="C29" s="10" t="n"/>
      <c r="D29" s="9" t="n"/>
      <c r="E29" s="8">
        <f>IF(D29="","",IF(C29="",1,C29)*D29)</f>
        <v/>
      </c>
      <c r="F29" s="10" t="n"/>
      <c r="G29" s="10" t="n"/>
      <c r="H29" s="6">
        <f>IF(G29="","",HYPERLINK("nota/"&amp;G29,"buka"))</f>
        <v/>
      </c>
      <c r="I29" s="10" t="n"/>
    </row>
    <row r="30">
      <c r="A30" s="40" t="n"/>
      <c r="B30" s="10" t="n"/>
      <c r="C30" s="10" t="n"/>
      <c r="D30" s="9" t="n"/>
      <c r="E30" s="8">
        <f>IF(D30="","",IF(C30="",1,C30)*D30)</f>
        <v/>
      </c>
      <c r="F30" s="10" t="n"/>
      <c r="G30" s="10" t="n"/>
      <c r="H30" s="6">
        <f>IF(G30="","",HYPERLINK("nota/"&amp;G30,"buka"))</f>
        <v/>
      </c>
      <c r="I30" s="10" t="n"/>
    </row>
    <row r="31">
      <c r="A31" s="40" t="n"/>
      <c r="B31" s="10" t="n"/>
      <c r="C31" s="10" t="n"/>
      <c r="D31" s="9" t="n"/>
      <c r="E31" s="8">
        <f>IF(D31="","",IF(C31="",1,C31)*D31)</f>
        <v/>
      </c>
      <c r="F31" s="10" t="n"/>
      <c r="G31" s="10" t="n"/>
      <c r="H31" s="6">
        <f>IF(G31="","",HYPERLINK("nota/"&amp;G31,"buka"))</f>
        <v/>
      </c>
      <c r="I31" s="10" t="n"/>
    </row>
    <row r="32">
      <c r="A32" s="40" t="n"/>
      <c r="B32" s="10" t="n"/>
      <c r="C32" s="10" t="n"/>
      <c r="D32" s="9" t="n"/>
      <c r="E32" s="8">
        <f>IF(D32="","",IF(C32="",1,C32)*D32)</f>
        <v/>
      </c>
      <c r="F32" s="10" t="n"/>
      <c r="G32" s="10" t="n"/>
      <c r="H32" s="6">
        <f>IF(G32="","",HYPERLINK("nota/"&amp;G32,"buka"))</f>
        <v/>
      </c>
      <c r="I32" s="10" t="n"/>
    </row>
    <row r="33">
      <c r="A33" s="40" t="n"/>
      <c r="B33" s="10" t="n"/>
      <c r="C33" s="10" t="n"/>
      <c r="D33" s="9" t="n"/>
      <c r="E33" s="8">
        <f>IF(D33="","",IF(C33="",1,C33)*D33)</f>
        <v/>
      </c>
      <c r="F33" s="10" t="n"/>
      <c r="G33" s="10" t="n"/>
      <c r="H33" s="6">
        <f>IF(G33="","",HYPERLINK("nota/"&amp;G33,"buka"))</f>
        <v/>
      </c>
      <c r="I33" s="10" t="n"/>
    </row>
    <row r="34">
      <c r="A34" s="40" t="n"/>
      <c r="B34" s="10" t="n"/>
      <c r="C34" s="10" t="n"/>
      <c r="D34" s="9" t="n"/>
      <c r="E34" s="8">
        <f>IF(D34="","",IF(C34="",1,C34)*D34)</f>
        <v/>
      </c>
      <c r="F34" s="10" t="n"/>
      <c r="G34" s="10" t="n"/>
      <c r="H34" s="6">
        <f>IF(G34="","",HYPERLINK("nota/"&amp;G34,"buka"))</f>
        <v/>
      </c>
      <c r="I34" s="10" t="n"/>
    </row>
    <row r="35">
      <c r="A35" s="40" t="n"/>
      <c r="B35" s="10" t="n"/>
      <c r="C35" s="10" t="n"/>
      <c r="D35" s="9" t="n"/>
      <c r="E35" s="8">
        <f>IF(D35="","",IF(C35="",1,C35)*D35)</f>
        <v/>
      </c>
      <c r="F35" s="10" t="n"/>
      <c r="G35" s="10" t="n"/>
      <c r="H35" s="6">
        <f>IF(G35="","",HYPERLINK("nota/"&amp;G35,"buka"))</f>
        <v/>
      </c>
      <c r="I35" s="10" t="n"/>
    </row>
    <row r="36">
      <c r="A36" s="40" t="n"/>
      <c r="B36" s="10" t="n"/>
      <c r="C36" s="10" t="n"/>
      <c r="D36" s="9" t="n"/>
      <c r="E36" s="8">
        <f>IF(D36="","",IF(C36="",1,C36)*D36)</f>
        <v/>
      </c>
      <c r="F36" s="10" t="n"/>
      <c r="G36" s="10" t="n"/>
      <c r="H36" s="6">
        <f>IF(G36="","",HYPERLINK("nota/"&amp;G36,"buka"))</f>
        <v/>
      </c>
      <c r="I36" s="10" t="n"/>
    </row>
    <row r="37">
      <c r="A37" s="40" t="n"/>
      <c r="B37" s="10" t="n"/>
      <c r="C37" s="10" t="n"/>
      <c r="D37" s="9" t="n"/>
      <c r="E37" s="8">
        <f>IF(D37="","",IF(C37="",1,C37)*D37)</f>
        <v/>
      </c>
      <c r="F37" s="10" t="n"/>
      <c r="G37" s="10" t="n"/>
      <c r="H37" s="6">
        <f>IF(G37="","",HYPERLINK("nota/"&amp;G37,"buka"))</f>
        <v/>
      </c>
      <c r="I37" s="10" t="n"/>
    </row>
    <row r="38">
      <c r="A38" s="40" t="n"/>
      <c r="B38" s="10" t="n"/>
      <c r="C38" s="10" t="n"/>
      <c r="D38" s="9" t="n"/>
      <c r="E38" s="8">
        <f>IF(D38="","",IF(C38="",1,C38)*D38)</f>
        <v/>
      </c>
      <c r="F38" s="10" t="n"/>
      <c r="G38" s="10" t="n"/>
      <c r="H38" s="6">
        <f>IF(G38="","",HYPERLINK("nota/"&amp;G38,"buka"))</f>
        <v/>
      </c>
      <c r="I38" s="10" t="n"/>
    </row>
    <row r="39">
      <c r="A39" s="40" t="n"/>
      <c r="B39" s="10" t="n"/>
      <c r="C39" s="10" t="n"/>
      <c r="D39" s="9" t="n"/>
      <c r="E39" s="8">
        <f>IF(D39="","",IF(C39="",1,C39)*D39)</f>
        <v/>
      </c>
      <c r="F39" s="10" t="n"/>
      <c r="G39" s="10" t="n"/>
      <c r="H39" s="6">
        <f>IF(G39="","",HYPERLINK("nota/"&amp;G39,"buka"))</f>
        <v/>
      </c>
      <c r="I39" s="10" t="n"/>
    </row>
    <row r="40">
      <c r="A40" s="40" t="n"/>
      <c r="B40" s="10" t="n"/>
      <c r="C40" s="10" t="n"/>
      <c r="D40" s="9" t="n"/>
      <c r="E40" s="8">
        <f>IF(D40="","",IF(C40="",1,C40)*D40)</f>
        <v/>
      </c>
      <c r="F40" s="10" t="n"/>
      <c r="G40" s="10" t="n"/>
      <c r="H40" s="6">
        <f>IF(G40="","",HYPERLINK("nota/"&amp;G40,"buka"))</f>
        <v/>
      </c>
      <c r="I40" s="10" t="n"/>
    </row>
    <row r="41">
      <c r="A41" s="40" t="n"/>
      <c r="B41" s="10" t="n"/>
      <c r="C41" s="10" t="n"/>
      <c r="D41" s="9" t="n"/>
      <c r="E41" s="8">
        <f>IF(D41="","",IF(C41="",1,C41)*D41)</f>
        <v/>
      </c>
      <c r="F41" s="10" t="n"/>
      <c r="G41" s="10" t="n"/>
      <c r="H41" s="6">
        <f>IF(G41="","",HYPERLINK("nota/"&amp;G41,"buka"))</f>
        <v/>
      </c>
      <c r="I41" s="10" t="n"/>
    </row>
    <row r="42">
      <c r="A42" s="40" t="n"/>
      <c r="B42" s="10" t="n"/>
      <c r="C42" s="10" t="n"/>
      <c r="D42" s="9" t="n"/>
      <c r="E42" s="8">
        <f>IF(D42="","",IF(C42="",1,C42)*D42)</f>
        <v/>
      </c>
      <c r="F42" s="10" t="n"/>
      <c r="G42" s="10" t="n"/>
      <c r="H42" s="6">
        <f>IF(G42="","",HYPERLINK("nota/"&amp;G42,"buka"))</f>
        <v/>
      </c>
      <c r="I42" s="10" t="n"/>
    </row>
    <row r="43">
      <c r="A43" s="40" t="n"/>
      <c r="B43" s="10" t="n"/>
      <c r="C43" s="10" t="n"/>
      <c r="D43" s="9" t="n"/>
      <c r="E43" s="8">
        <f>IF(D43="","",IF(C43="",1,C43)*D43)</f>
        <v/>
      </c>
      <c r="F43" s="10" t="n"/>
      <c r="G43" s="10" t="n"/>
      <c r="H43" s="6">
        <f>IF(G43="","",HYPERLINK("nota/"&amp;G43,"buka"))</f>
        <v/>
      </c>
      <c r="I43" s="10" t="n"/>
    </row>
    <row r="44">
      <c r="A44" s="40" t="n"/>
      <c r="B44" s="10" t="n"/>
      <c r="C44" s="10" t="n"/>
      <c r="D44" s="9" t="n"/>
      <c r="E44" s="8">
        <f>IF(D44="","",IF(C44="",1,C44)*D44)</f>
        <v/>
      </c>
      <c r="F44" s="10" t="n"/>
      <c r="G44" s="10" t="n"/>
      <c r="H44" s="6">
        <f>IF(G44="","",HYPERLINK("nota/"&amp;G44,"buka"))</f>
        <v/>
      </c>
      <c r="I44" s="10" t="n"/>
    </row>
    <row r="45">
      <c r="A45" s="40" t="n"/>
      <c r="B45" s="10" t="n"/>
      <c r="C45" s="10" t="n"/>
      <c r="D45" s="9" t="n"/>
      <c r="E45" s="8">
        <f>IF(D45="","",IF(C45="",1,C45)*D45)</f>
        <v/>
      </c>
      <c r="F45" s="10" t="n"/>
      <c r="G45" s="10" t="n"/>
      <c r="H45" s="6">
        <f>IF(G45="","",HYPERLINK("nota/"&amp;G45,"buka"))</f>
        <v/>
      </c>
      <c r="I45" s="10" t="n"/>
    </row>
    <row r="46">
      <c r="A46" s="40" t="n"/>
      <c r="B46" s="10" t="n"/>
      <c r="C46" s="10" t="n"/>
      <c r="D46" s="9" t="n"/>
      <c r="E46" s="8">
        <f>IF(D46="","",IF(C46="",1,C46)*D46)</f>
        <v/>
      </c>
      <c r="F46" s="10" t="n"/>
      <c r="G46" s="10" t="n"/>
      <c r="H46" s="6">
        <f>IF(G46="","",HYPERLINK("nota/"&amp;G46,"buka"))</f>
        <v/>
      </c>
      <c r="I46" s="10" t="n"/>
    </row>
    <row r="47">
      <c r="A47" s="40" t="n"/>
      <c r="B47" s="10" t="n"/>
      <c r="C47" s="10" t="n"/>
      <c r="D47" s="9" t="n"/>
      <c r="E47" s="8">
        <f>IF(D47="","",IF(C47="",1,C47)*D47)</f>
        <v/>
      </c>
      <c r="F47" s="10" t="n"/>
      <c r="G47" s="10" t="n"/>
      <c r="H47" s="6">
        <f>IF(G47="","",HYPERLINK("nota/"&amp;G47,"buka"))</f>
        <v/>
      </c>
      <c r="I47" s="10" t="n"/>
    </row>
    <row r="48">
      <c r="A48" s="40" t="n"/>
      <c r="B48" s="10" t="n"/>
      <c r="C48" s="10" t="n"/>
      <c r="D48" s="9" t="n"/>
      <c r="E48" s="8">
        <f>IF(D48="","",IF(C48="",1,C48)*D48)</f>
        <v/>
      </c>
      <c r="F48" s="10" t="n"/>
      <c r="G48" s="10" t="n"/>
      <c r="H48" s="6">
        <f>IF(G48="","",HYPERLINK("nota/"&amp;G48,"buka"))</f>
        <v/>
      </c>
      <c r="I48" s="10" t="n"/>
    </row>
    <row r="49">
      <c r="A49" s="40" t="n"/>
      <c r="B49" s="10" t="n"/>
      <c r="C49" s="10" t="n"/>
      <c r="D49" s="9" t="n"/>
      <c r="E49" s="8">
        <f>IF(D49="","",IF(C49="",1,C49)*D49)</f>
        <v/>
      </c>
      <c r="F49" s="10" t="n"/>
      <c r="G49" s="10" t="n"/>
      <c r="H49" s="6">
        <f>IF(G49="","",HYPERLINK("nota/"&amp;G49,"buka"))</f>
        <v/>
      </c>
      <c r="I49" s="10" t="n"/>
    </row>
    <row r="50">
      <c r="A50" s="40" t="n"/>
      <c r="B50" s="10" t="n"/>
      <c r="C50" s="10" t="n"/>
      <c r="D50" s="9" t="n"/>
      <c r="E50" s="8">
        <f>IF(D50="","",IF(C50="",1,C50)*D50)</f>
        <v/>
      </c>
      <c r="F50" s="10" t="n"/>
      <c r="G50" s="10" t="n"/>
      <c r="H50" s="6">
        <f>IF(G50="","",HYPERLINK("nota/"&amp;G50,"buka"))</f>
        <v/>
      </c>
      <c r="I50" s="10" t="n"/>
    </row>
    <row r="51">
      <c r="A51" s="40" t="n"/>
      <c r="B51" s="10" t="n"/>
      <c r="C51" s="10" t="n"/>
      <c r="D51" s="9" t="n"/>
      <c r="E51" s="8">
        <f>IF(D51="","",IF(C51="",1,C51)*D51)</f>
        <v/>
      </c>
      <c r="F51" s="10" t="n"/>
      <c r="G51" s="10" t="n"/>
      <c r="H51" s="6">
        <f>IF(G51="","",HYPERLINK("nota/"&amp;G51,"buka"))</f>
        <v/>
      </c>
      <c r="I51" s="10" t="n"/>
    </row>
    <row r="52">
      <c r="A52" s="40" t="n"/>
      <c r="B52" s="10" t="n"/>
      <c r="C52" s="10" t="n"/>
      <c r="D52" s="9" t="n"/>
      <c r="E52" s="8">
        <f>IF(D52="","",IF(C52="",1,C52)*D52)</f>
        <v/>
      </c>
      <c r="F52" s="10" t="n"/>
      <c r="G52" s="10" t="n"/>
      <c r="H52" s="6">
        <f>IF(G52="","",HYPERLINK("nota/"&amp;G52,"buka"))</f>
        <v/>
      </c>
      <c r="I52" s="10" t="n"/>
    </row>
    <row r="53">
      <c r="A53" s="40" t="n"/>
      <c r="B53" s="10" t="n"/>
      <c r="C53" s="10" t="n"/>
      <c r="D53" s="9" t="n"/>
      <c r="E53" s="8">
        <f>IF(D53="","",IF(C53="",1,C53)*D53)</f>
        <v/>
      </c>
      <c r="F53" s="10" t="n"/>
      <c r="G53" s="10" t="n"/>
      <c r="H53" s="6">
        <f>IF(G53="","",HYPERLINK("nota/"&amp;G53,"buka"))</f>
        <v/>
      </c>
      <c r="I53" s="10" t="n"/>
    </row>
    <row r="54">
      <c r="A54" s="40" t="n"/>
      <c r="B54" s="10" t="n"/>
      <c r="C54" s="10" t="n"/>
      <c r="D54" s="9" t="n"/>
      <c r="E54" s="8">
        <f>IF(D54="","",IF(C54="",1,C54)*D54)</f>
        <v/>
      </c>
      <c r="F54" s="10" t="n"/>
      <c r="G54" s="10" t="n"/>
      <c r="H54" s="6">
        <f>IF(G54="","",HYPERLINK("nota/"&amp;G54,"buka"))</f>
        <v/>
      </c>
      <c r="I54" s="10" t="n"/>
    </row>
    <row r="55">
      <c r="A55" s="40" t="n"/>
      <c r="B55" s="10" t="n"/>
      <c r="C55" s="10" t="n"/>
      <c r="D55" s="9" t="n"/>
      <c r="E55" s="8">
        <f>IF(D55="","",IF(C55="",1,C55)*D55)</f>
        <v/>
      </c>
      <c r="F55" s="10" t="n"/>
      <c r="G55" s="10" t="n"/>
      <c r="H55" s="6">
        <f>IF(G55="","",HYPERLINK("nota/"&amp;G55,"buka"))</f>
        <v/>
      </c>
      <c r="I55" s="10" t="n"/>
    </row>
    <row r="56">
      <c r="A56" s="40" t="n"/>
      <c r="B56" s="10" t="n"/>
      <c r="C56" s="10" t="n"/>
      <c r="D56" s="9" t="n"/>
      <c r="E56" s="8">
        <f>IF(D56="","",IF(C56="",1,C56)*D56)</f>
        <v/>
      </c>
      <c r="F56" s="10" t="n"/>
      <c r="G56" s="10" t="n"/>
      <c r="H56" s="6">
        <f>IF(G56="","",HYPERLINK("nota/"&amp;G56,"buka"))</f>
        <v/>
      </c>
      <c r="I56" s="10" t="n"/>
    </row>
    <row r="57">
      <c r="A57" s="40" t="n"/>
      <c r="B57" s="10" t="n"/>
      <c r="C57" s="10" t="n"/>
      <c r="D57" s="9" t="n"/>
      <c r="E57" s="8">
        <f>IF(D57="","",IF(C57="",1,C57)*D57)</f>
        <v/>
      </c>
      <c r="F57" s="10" t="n"/>
      <c r="G57" s="10" t="n"/>
      <c r="H57" s="6">
        <f>IF(G57="","",HYPERLINK("nota/"&amp;G57,"buka"))</f>
        <v/>
      </c>
      <c r="I57" s="10" t="n"/>
    </row>
    <row r="58">
      <c r="A58" s="40" t="n"/>
      <c r="B58" s="10" t="n"/>
      <c r="C58" s="10" t="n"/>
      <c r="D58" s="9" t="n"/>
      <c r="E58" s="8">
        <f>IF(D58="","",IF(C58="",1,C58)*D58)</f>
        <v/>
      </c>
      <c r="F58" s="10" t="n"/>
      <c r="G58" s="10" t="n"/>
      <c r="H58" s="6">
        <f>IF(G58="","",HYPERLINK("nota/"&amp;G58,"buka"))</f>
        <v/>
      </c>
      <c r="I58" s="10" t="n"/>
    </row>
    <row r="59">
      <c r="A59" s="40" t="n"/>
      <c r="B59" s="10" t="n"/>
      <c r="C59" s="10" t="n"/>
      <c r="D59" s="9" t="n"/>
      <c r="E59" s="8">
        <f>IF(D59="","",IF(C59="",1,C59)*D59)</f>
        <v/>
      </c>
      <c r="F59" s="10" t="n"/>
      <c r="G59" s="10" t="n"/>
      <c r="H59" s="6">
        <f>IF(G59="","",HYPERLINK("nota/"&amp;G59,"buka"))</f>
        <v/>
      </c>
      <c r="I59" s="10" t="n"/>
    </row>
    <row r="60">
      <c r="A60" s="40" t="n"/>
      <c r="B60" s="10" t="n"/>
      <c r="C60" s="10" t="n"/>
      <c r="D60" s="9" t="n"/>
      <c r="E60" s="8">
        <f>IF(D60="","",IF(C60="",1,C60)*D60)</f>
        <v/>
      </c>
      <c r="F60" s="10" t="n"/>
      <c r="G60" s="10" t="n"/>
      <c r="H60" s="6">
        <f>IF(G60="","",HYPERLINK("nota/"&amp;G60,"buka"))</f>
        <v/>
      </c>
      <c r="I60" s="10" t="n"/>
    </row>
    <row r="61">
      <c r="A61" s="40" t="n"/>
      <c r="B61" s="10" t="n"/>
      <c r="C61" s="10" t="n"/>
      <c r="D61" s="9" t="n"/>
      <c r="E61" s="8">
        <f>IF(D61="","",IF(C61="",1,C61)*D61)</f>
        <v/>
      </c>
      <c r="F61" s="10" t="n"/>
      <c r="G61" s="10" t="n"/>
      <c r="H61" s="6">
        <f>IF(G61="","",HYPERLINK("nota/"&amp;G61,"buka"))</f>
        <v/>
      </c>
      <c r="I61" s="10" t="n"/>
    </row>
    <row r="62">
      <c r="A62" s="41" t="n"/>
      <c r="B62" s="12" t="inlineStr">
        <is>
          <t>Total pengeluaran</t>
        </is>
      </c>
      <c r="C62" s="41" t="n"/>
      <c r="D62" s="41" t="n"/>
      <c r="E62" s="13">
        <f>SUM(E22:E61)</f>
        <v/>
      </c>
      <c r="F62" s="41" t="n"/>
      <c r="G62" s="41" t="n"/>
      <c r="H62" s="41" t="n"/>
      <c r="I62" s="41" t="n"/>
    </row>
  </sheetData>
  <mergeCells count="3">
    <mergeCell ref="A8:B8"/>
    <mergeCell ref="A6:B6"/>
    <mergeCell ref="A7:B7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RINGKASAN RAB — Rev. 08</t>
        </is>
      </c>
    </row>
    <row r="2">
      <c r="A2" s="2" t="inlineStr">
        <is>
          <t>Semua angka dihitung dari sheet RAB. Sel kuning boleh diubah.</t>
        </is>
      </c>
    </row>
    <row r="4">
      <c r="A4" s="16" t="inlineStr">
        <is>
          <t>Target budget total (komponen + jasa)</t>
        </is>
      </c>
      <c r="B4" s="17" t="n">
        <v>2000000</v>
      </c>
      <c r="C4" s="16" t="n"/>
      <c r="D4" s="16" t="n"/>
      <c r="E4" s="16" t="n"/>
    </row>
    <row r="5">
      <c r="A5" s="16" t="inlineStr">
        <is>
          <t>Kontingensi (cadangan harga naik / salah beli)</t>
        </is>
      </c>
      <c r="B5" s="18" t="n">
        <v>0.1</v>
      </c>
      <c r="C5" s="16" t="n"/>
      <c r="D5" s="16" t="n"/>
      <c r="E5" s="16" t="n"/>
    </row>
    <row r="6">
      <c r="A6" s="16" t="n"/>
      <c r="B6" s="16" t="n"/>
      <c r="C6" s="16" t="n"/>
      <c r="D6" s="16" t="n"/>
      <c r="E6" s="16" t="n"/>
    </row>
    <row r="7">
      <c r="A7" s="19" t="inlineStr">
        <is>
          <t>1. PAKET INTI (zona A + B)</t>
        </is>
      </c>
      <c r="B7" s="16" t="n"/>
      <c r="C7" s="16" t="n"/>
      <c r="D7" s="16" t="n"/>
      <c r="E7" s="16" t="n"/>
    </row>
    <row r="8" ht="30" customHeight="1">
      <c r="A8" s="20" t="inlineStr">
        <is>
          <t>Pos</t>
        </is>
      </c>
      <c r="B8" s="20" t="inlineStr">
        <is>
          <t>Perkiraan</t>
        </is>
      </c>
      <c r="C8" s="20" t="inlineStr">
        <is>
          <t>Online (yang sudah diisi)</t>
        </is>
      </c>
      <c r="D8" s="20" t="inlineStr">
        <is>
          <t>Dipakai</t>
        </is>
      </c>
      <c r="E8" s="20" t="inlineStr">
        <is>
          <t>Harga online terisi</t>
        </is>
      </c>
    </row>
    <row r="9">
      <c r="A9" s="21" t="inlineStr">
        <is>
          <t>Elektronik</t>
        </is>
      </c>
      <c r="B9" s="22">
        <f>SUMIFS(RAB!$I$7:$I$30,RAB!$E$7:$E$30,"Inti")</f>
        <v/>
      </c>
      <c r="C9" s="22">
        <f>SUMIFS(RAB!$K$7:$K$30,RAB!$E$7:$E$30,"Inti")</f>
        <v/>
      </c>
      <c r="D9" s="22">
        <f>SUMIFS(RAB!$L$7:$L$30,RAB!$E$7:$E$30,"Inti")</f>
        <v/>
      </c>
      <c r="E9" s="21">
        <f>COUNTIFS(RAB!$E$7:$E$30,"Inti",RAB!$J$7:$J$30,"&lt;&gt;")&amp;" / "&amp;COUNTIFS(RAB!$E$7:$E$30,"Inti")</f>
        <v/>
      </c>
    </row>
    <row r="10">
      <c r="A10" s="21" t="inlineStr">
        <is>
          <t>Mekanis — Hidrolik</t>
        </is>
      </c>
      <c r="B10" s="22">
        <f>SUMIFS(RAB!$I$34:$I$57,RAB!$E$34:$E$57,"Inti")</f>
        <v/>
      </c>
      <c r="C10" s="22">
        <f>SUMIFS(RAB!$K$34:$K$57,RAB!$E$34:$E$57,"Inti")</f>
        <v/>
      </c>
      <c r="D10" s="22">
        <f>SUMIFS(RAB!$L$34:$L$57,RAB!$E$34:$E$57,"Inti")</f>
        <v/>
      </c>
      <c r="E10" s="21">
        <f>COUNTIFS(RAB!$E$34:$E$57,"Inti",RAB!$J$34:$J$57,"&lt;&gt;")&amp;" / "&amp;COUNTIFS(RAB!$E$34:$E$57,"Inti")</f>
        <v/>
      </c>
    </row>
    <row r="11">
      <c r="A11" s="21" t="inlineStr">
        <is>
          <t>Mekanis — Struktur &amp; Panel</t>
        </is>
      </c>
      <c r="B11" s="22">
        <f>SUMIFS(RAB!$I$61:$I$68,RAB!$E$61:$E$68,"Inti")</f>
        <v/>
      </c>
      <c r="C11" s="22">
        <f>SUMIFS(RAB!$K$61:$K$68,RAB!$E$61:$E$68,"Inti")</f>
        <v/>
      </c>
      <c r="D11" s="22">
        <f>SUMIFS(RAB!$L$61:$L$68,RAB!$E$61:$E$68,"Inti")</f>
        <v/>
      </c>
      <c r="E11" s="21">
        <f>COUNTIFS(RAB!$E$61:$E$68,"Inti",RAB!$J$61:$J$68,"&lt;&gt;")&amp;" / "&amp;COUNTIFS(RAB!$E$61:$E$68,"Inti")</f>
        <v/>
      </c>
    </row>
    <row r="12">
      <c r="A12" s="21" t="inlineStr">
        <is>
          <t>Bahan Habis Pakai</t>
        </is>
      </c>
      <c r="B12" s="22">
        <f>SUMIFS(RAB!$I$72:$I$77,RAB!$E$72:$E$77,"Inti")</f>
        <v/>
      </c>
      <c r="C12" s="22">
        <f>SUMIFS(RAB!$K$72:$K$77,RAB!$E$72:$E$77,"Inti")</f>
        <v/>
      </c>
      <c r="D12" s="22">
        <f>SUMIFS(RAB!$L$72:$L$77,RAB!$E$72:$E$77,"Inti")</f>
        <v/>
      </c>
      <c r="E12" s="21">
        <f>COUNTIFS(RAB!$E$72:$E$77,"Inti",RAB!$J$72:$J$77,"&lt;&gt;")&amp;" / "&amp;COUNTIFS(RAB!$E$72:$E$77,"Inti")</f>
        <v/>
      </c>
    </row>
    <row r="13">
      <c r="A13" s="21" t="inlineStr">
        <is>
          <t>Alat Bantu &amp; Kalibrasi</t>
        </is>
      </c>
      <c r="B13" s="22">
        <f>SUMIFS(RAB!$I$81:$I$85,RAB!$E$81:$E$85,"Inti")</f>
        <v/>
      </c>
      <c r="C13" s="22">
        <f>SUMIFS(RAB!$K$81:$K$85,RAB!$E$81:$E$85,"Inti")</f>
        <v/>
      </c>
      <c r="D13" s="22">
        <f>SUMIFS(RAB!$L$81:$L$85,RAB!$E$81:$E$85,"Inti")</f>
        <v/>
      </c>
      <c r="E13" s="21">
        <f>COUNTIFS(RAB!$E$81:$E$85,"Inti",RAB!$J$81:$J$85,"&lt;&gt;")&amp;" / "&amp;COUNTIFS(RAB!$E$81:$E$85,"Inti")</f>
        <v/>
      </c>
    </row>
    <row r="14">
      <c r="A14" s="23" t="inlineStr">
        <is>
          <t>Subtotal komponen</t>
        </is>
      </c>
      <c r="B14" s="24">
        <f>SUM(B9:B13)</f>
        <v/>
      </c>
      <c r="C14" s="24">
        <f>SUM(C9:C13)</f>
        <v/>
      </c>
      <c r="D14" s="24">
        <f>SUM(D9:D13)</f>
        <v/>
      </c>
      <c r="E14" s="23" t="inlineStr"/>
    </row>
    <row r="15">
      <c r="A15" s="21" t="inlineStr">
        <is>
          <t>Kontingensi</t>
        </is>
      </c>
      <c r="B15" s="22">
        <f>B14*$B$5</f>
        <v/>
      </c>
      <c r="C15" s="22" t="inlineStr"/>
      <c r="D15" s="22">
        <f>D14*$B$5</f>
        <v/>
      </c>
      <c r="E15" s="21" t="inlineStr">
        <is>
          <t>Subtotal komponen × persentase di B5</t>
        </is>
      </c>
    </row>
    <row r="16">
      <c r="A16" s="21" t="inlineStr">
        <is>
          <t>Biaya lain (ongkir, transport)</t>
        </is>
      </c>
      <c r="B16" s="22">
        <f>SUMIFS(RAB!$I$89:$I$90,RAB!$E$89:$E$90,"Inti")</f>
        <v/>
      </c>
      <c r="C16" s="22">
        <f>SUMIFS(RAB!$K$89:$K$90,RAB!$E$89:$E$90,"Inti")</f>
        <v/>
      </c>
      <c r="D16" s="22">
        <f>SUMIFS(RAB!$L$89:$L$90,RAB!$E$89:$E$90,"Inti")</f>
        <v/>
      </c>
      <c r="E16" s="21" t="inlineStr"/>
    </row>
    <row r="17">
      <c r="A17" s="23" t="inlineStr">
        <is>
          <t>Total biaya barang</t>
        </is>
      </c>
      <c r="B17" s="24">
        <f>B14+B15+B16</f>
        <v/>
      </c>
      <c r="C17" s="24" t="inlineStr"/>
      <c r="D17" s="24">
        <f>D14+D15+D16</f>
        <v/>
      </c>
      <c r="E17" s="23" t="inlineStr"/>
    </row>
    <row r="18">
      <c r="A18" s="21" t="inlineStr">
        <is>
          <t>Jasa</t>
        </is>
      </c>
      <c r="B18" s="22">
        <f>SUMIFS(RAB!$I$94:$I$100,RAB!$E$94:$E$100,"Inti")</f>
        <v/>
      </c>
      <c r="C18" s="22" t="inlineStr"/>
      <c r="D18" s="22">
        <f>SUMIFS(RAB!$L$94:$L$100,RAB!$E$94:$E$100,"Inti")</f>
        <v/>
      </c>
      <c r="E18" s="21" t="inlineStr"/>
    </row>
    <row r="19">
      <c r="A19" s="25" t="inlineStr">
        <is>
          <t>TOTAL PAKET INTI</t>
        </is>
      </c>
      <c r="B19" s="26">
        <f>B17+B18</f>
        <v/>
      </c>
      <c r="C19" s="26" t="inlineStr"/>
      <c r="D19" s="26">
        <f>D17+D18</f>
        <v/>
      </c>
      <c r="E19" s="25" t="inlineStr"/>
    </row>
    <row r="20">
      <c r="A20" s="27" t="inlineStr">
        <is>
          <t>Selisih terhadap target (+ = melebihi)</t>
        </is>
      </c>
      <c r="B20" s="28">
        <f>B19-$B$4</f>
        <v/>
      </c>
      <c r="C20" s="28" t="inlineStr"/>
      <c r="D20" s="28">
        <f>D19-$B$4</f>
        <v/>
      </c>
      <c r="E20" s="27" t="inlineStr"/>
    </row>
    <row r="21">
      <c r="A21" s="27" t="inlineStr">
        <is>
          <t>Status</t>
        </is>
      </c>
      <c r="B21" s="28">
        <f>IF(B19&lt;=$B$4,"Masuk target","Melebihi target")</f>
        <v/>
      </c>
      <c r="C21" s="28" t="inlineStr"/>
      <c r="D21" s="28">
        <f>IF(D19&lt;=$B$4,"Masuk target","Melebihi target")</f>
        <v/>
      </c>
      <c r="E21" s="27" t="inlineStr"/>
    </row>
    <row r="22">
      <c r="A22" s="21" t="inlineStr">
        <is>
          <t>Porsi jasa dari total</t>
        </is>
      </c>
      <c r="B22" s="29">
        <f>B18/B19</f>
        <v/>
      </c>
      <c r="C22" s="22" t="inlineStr"/>
      <c r="D22" s="29">
        <f>D18/D19</f>
        <v/>
      </c>
      <c r="E22" s="21" t="inlineStr"/>
    </row>
    <row r="23">
      <c r="A23" s="16" t="n"/>
      <c r="B23" s="16" t="n"/>
      <c r="C23" s="16" t="n"/>
      <c r="D23" s="16" t="n"/>
      <c r="E23" s="16" t="n"/>
    </row>
    <row r="24">
      <c r="A24" s="19" t="inlineStr">
        <is>
          <t>2. PAKET LENGKAP &amp; OPSIONAL</t>
        </is>
      </c>
      <c r="B24" s="16" t="n"/>
      <c r="C24" s="16" t="n"/>
      <c r="D24" s="16" t="n"/>
      <c r="E24" s="16" t="n"/>
    </row>
    <row r="25" ht="30" customHeight="1">
      <c r="A25" s="20" t="inlineStr">
        <is>
          <t>Pos</t>
        </is>
      </c>
      <c r="B25" s="20" t="inlineStr">
        <is>
          <t>Perkiraan</t>
        </is>
      </c>
      <c r="C25" s="20" t="inlineStr">
        <is>
          <t>Online (yang sudah diisi)</t>
        </is>
      </c>
      <c r="D25" s="20" t="inlineStr">
        <is>
          <t>Dipakai</t>
        </is>
      </c>
      <c r="E25" s="20" t="inlineStr">
        <is>
          <t>Keterangan</t>
        </is>
      </c>
    </row>
    <row r="26">
      <c r="A26" s="21" t="inlineStr">
        <is>
          <t>Tambahan paket lengkap (zona C + S2)</t>
        </is>
      </c>
      <c r="B26" s="22">
        <f>SUMIFS(RAB!$I$6:$I$102,RAB!$E$6:$E$102,"Lengkap")+(SUMIFS(RAB!$I$6:$I$102,RAB!$E$6:$E$102,"Lengkap")-SUMIFS(RAB!$I$94:$I$100,RAB!$E$94:$E$100,"Lengkap"))*$B$5</f>
        <v/>
      </c>
      <c r="C26" s="22">
        <f>SUMIFS(RAB!$K$6:$K$102,RAB!$E$6:$E$102,"Lengkap")</f>
        <v/>
      </c>
      <c r="D26" s="22">
        <f>SUMIFS(RAB!$L$6:$L$102,RAB!$E$6:$E$102,"Lengkap")+(SUMIFS(RAB!$L$6:$L$102,RAB!$E$6:$E$102,"Lengkap")-SUMIFS(RAB!$L$94:$L$100,RAB!$E$94:$E$100,"Lengkap"))*$B$5</f>
        <v/>
      </c>
      <c r="E26" s="21" t="inlineStr">
        <is>
          <t>Barang + jasa tambahan, kontingensi hanya untuk barang</t>
        </is>
      </c>
    </row>
    <row r="27">
      <c r="A27" s="25" t="inlineStr">
        <is>
          <t>TOTAL PAKET LENGKAP</t>
        </is>
      </c>
      <c r="B27" s="26">
        <f>B19+B26</f>
        <v/>
      </c>
      <c r="C27" s="26" t="inlineStr"/>
      <c r="D27" s="26">
        <f>D19+D26</f>
        <v/>
      </c>
      <c r="E27" s="25" t="inlineStr">
        <is>
          <t>Syarat: YF-S401 lolos uji rugi tekanan</t>
        </is>
      </c>
    </row>
    <row r="28">
      <c r="A28" s="21" t="inlineStr">
        <is>
          <t>Item opsional (tidak masuk total)</t>
        </is>
      </c>
      <c r="B28" s="22">
        <f>SUMIFS(RAB!$I$6:$I$102,RAB!$E$6:$E$102,"Opsional")</f>
        <v/>
      </c>
      <c r="C28" s="22">
        <f>SUMIFS(RAB!$K$6:$K$102,RAB!$E$6:$E$102,"Opsional")</f>
        <v/>
      </c>
      <c r="D28" s="22">
        <f>SUMIFS(RAB!$L$6:$L$102,RAB!$E$6:$E$102,"Opsional")</f>
        <v/>
      </c>
      <c r="E28" s="21" t="inlineStr">
        <is>
          <t>RCD, demo hidrostatis, tabung pitot — ditambahkan terpisah bila dipilih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0" t="inlineStr">
        <is>
          <t>CARA MEMAKAI RAB</t>
        </is>
      </c>
    </row>
    <row r="2">
      <c r="A2" s="31" t="inlineStr">
        <is>
          <t>1. Isi kolom kuning di sheet RAB setelah riset: Harga Online Shop (per satuan), Toko / Link, dan Status.</t>
        </is>
      </c>
    </row>
    <row r="3">
      <c r="A3" s="31" t="inlineStr">
        <is>
          <t>2. Total Online, Total Dipakai, Selisih, subtotal, dan sheet Ringkasan terhitung otomatis.</t>
        </is>
      </c>
    </row>
    <row r="4">
      <c r="A4" s="31" t="inlineStr">
        <is>
          <t>3. Total Dipakai = harga online jika sudah diisi, jika belum memakai harga perkiraan. Ringkasan memakai angka ini.</t>
        </is>
      </c>
    </row>
    <row r="5">
      <c r="A5" s="31" t="inlineStr">
        <is>
          <t>4. Barang yang sudah dimiliki (mis. jangka sorong): ubah Jumlah jadi 0, jangan hapus barisnya.</t>
        </is>
      </c>
    </row>
    <row r="6">
      <c r="A6" s="31" t="inlineStr">
        <is>
          <t>5. Kolom Paket: Inti = masuk total paket inti; Lengkap = hanya paket lengkap; Opsional = tidak masuk total.</t>
        </is>
      </c>
    </row>
    <row r="7">
      <c r="A7" s="31" t="inlineStr">
        <is>
          <t>6. Target budget dan persentase kontingensi bisa diubah di sheet Ringkasan (sel kuning B4 dan B5).</t>
        </is>
      </c>
    </row>
    <row r="8">
      <c r="A8" s="31" t="inlineStr">
        <is>
          <t>7. Menambah barang: sisipkan baris di dalam kelompoknya (di atas baris Subtotal) lalu salin rumus kolom I, K, L, M dari baris di atasnya.</t>
        </is>
      </c>
    </row>
    <row r="9">
      <c r="A9" s="31" t="inlineStr"/>
    </row>
    <row r="10">
      <c r="A10" s="30" t="inlineStr">
        <is>
          <t>CATATAN</t>
        </is>
      </c>
    </row>
    <row r="11">
      <c r="A11" s="31" t="inlineStr">
        <is>
          <t>• Harga perkiraan adalah kisaran marketplace, bukan harga pasti. Verifikasi sebelum dikirim ke client.</t>
        </is>
      </c>
    </row>
    <row r="12">
      <c r="A12" s="31" t="inlineStr">
        <is>
          <t>• Jangan belanja penuh sebelum kesepakatan tertulis dan DP.</t>
        </is>
      </c>
    </row>
    <row r="13">
      <c r="A13" s="31" t="inlineStr">
        <is>
          <t>• Ukuran pipa (ID 19 / 10 / 13 mm) masih asumsi tabung akrilik tebal 3 mm; ukur ID riil sebelum mencetak venturi.</t>
        </is>
      </c>
    </row>
    <row r="14">
      <c r="A14" s="31" t="inlineStr">
        <is>
          <t>• Jasa dokumentasi = SOP, manual alat, diagram rangkaian. LKPD dan instrumen penelitian adalah isi skripsi client, bukan bagian RAB ini.</t>
        </is>
      </c>
    </row>
    <row r="15">
      <c r="A15" s="31" t="inlineStr">
        <is>
          <t>• Acuan desain: catatan/konteks-dan-spesifikasi.md dan desain/perhitungan/.</t>
        </is>
      </c>
    </row>
    <row r="17">
      <c r="A17" s="42" t="inlineStr">
        <is>
          <t>KEUANGAN</t>
        </is>
      </c>
    </row>
    <row r="18">
      <c r="A18" t="inlineStr">
        <is>
          <t>• Sheet Keuangan: catat setiap dana masuk dan setiap pembelian. Sisa dana dihitung otomatis.</t>
        </is>
      </c>
    </row>
    <row r="19">
      <c r="A19" t="inlineStr">
        <is>
          <t>• Nota disimpan di folder anggaran/nota/ dengan nama TANGGAL_barang.jpg; tulis nama file di kolom File nota.</t>
        </is>
      </c>
    </row>
    <row r="20">
      <c r="A20" t="inlineStr">
        <is>
          <t>• Setelah membeli, isi juga harga beli dan status 'Diterima' di sheet RAB supaya total RAB memakai harga nyata.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Guntur Sulistyo</dc:creator>
  <dc:title xmlns:dc="http://purl.org/dc/elements/1.1/">RAB Alat Praktikum Fluida Dinamis Rev. 08</dc:title>
  <dcterms:created xmlns:dcterms="http://purl.org/dc/terms/" xmlns:xsi="http://www.w3.org/2001/XMLSchema-instance" xsi:type="dcterms:W3CDTF">2026-10-04T13:33:06Z</dcterms:created>
  <dcterms:modified xmlns:dcterms="http://purl.org/dc/terms/" xmlns:xsi="http://www.w3.org/2001/XMLSchema-instance" xsi:type="dcterms:W3CDTF">2026-10-11T04:38:26Z</dcterms:modified>
  <cp:lastModifiedBy>Guntur Sulistyo</cp:lastModifiedBy>
</cp:coreProperties>
</file>