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unturS\Projec_Ibah\anggaran\"/>
    </mc:Choice>
  </mc:AlternateContent>
  <xr:revisionPtr revIDLastSave="0" documentId="13_ncr:1_{33050906-EA6B-4D13-815E-EE005F0B6C6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RAB" sheetId="1" r:id="rId1"/>
    <sheet name="Ringkasan" sheetId="2" r:id="rId2"/>
    <sheet name="Petunjuk" sheetId="3" r:id="rId3"/>
  </sheets>
  <definedNames>
    <definedName name="_xlnm._FilterDatabase" localSheetId="0" hidden="1">RAB!$A$5:$P$100</definedName>
    <definedName name="_xlnm.Print_Titles" localSheetId="0">RAB!$5:$5</definedName>
  </definedNames>
  <calcPr calcId="191029"/>
</workbook>
</file>

<file path=xl/calcChain.xml><?xml version="1.0" encoding="utf-8"?>
<calcChain xmlns="http://schemas.openxmlformats.org/spreadsheetml/2006/main">
  <c r="I99" i="1" l="1"/>
  <c r="E13" i="2"/>
  <c r="E12" i="2"/>
  <c r="E11" i="2"/>
  <c r="E10" i="2"/>
  <c r="E9" i="2"/>
  <c r="M98" i="1"/>
  <c r="L98" i="1"/>
  <c r="K98" i="1"/>
  <c r="I98" i="1"/>
  <c r="M97" i="1"/>
  <c r="L97" i="1"/>
  <c r="K97" i="1"/>
  <c r="I97" i="1"/>
  <c r="M96" i="1"/>
  <c r="L96" i="1"/>
  <c r="K96" i="1"/>
  <c r="I96" i="1"/>
  <c r="M95" i="1"/>
  <c r="L95" i="1"/>
  <c r="K95" i="1"/>
  <c r="I95" i="1"/>
  <c r="M94" i="1"/>
  <c r="L94" i="1"/>
  <c r="K94" i="1"/>
  <c r="I94" i="1"/>
  <c r="M93" i="1"/>
  <c r="L93" i="1"/>
  <c r="L99" i="1" s="1"/>
  <c r="K93" i="1"/>
  <c r="I93" i="1"/>
  <c r="M92" i="1"/>
  <c r="L92" i="1"/>
  <c r="D18" i="2" s="1"/>
  <c r="K92" i="1"/>
  <c r="K99" i="1" s="1"/>
  <c r="I92" i="1"/>
  <c r="B18" i="2" s="1"/>
  <c r="M88" i="1"/>
  <c r="K88" i="1"/>
  <c r="I88" i="1"/>
  <c r="L88" i="1" s="1"/>
  <c r="M87" i="1"/>
  <c r="L87" i="1"/>
  <c r="D16" i="2" s="1"/>
  <c r="K87" i="1"/>
  <c r="C16" i="2" s="1"/>
  <c r="I87" i="1"/>
  <c r="I89" i="1" s="1"/>
  <c r="M83" i="1"/>
  <c r="K83" i="1"/>
  <c r="I83" i="1"/>
  <c r="L83" i="1" s="1"/>
  <c r="M82" i="1"/>
  <c r="K82" i="1"/>
  <c r="I82" i="1"/>
  <c r="L82" i="1" s="1"/>
  <c r="M81" i="1"/>
  <c r="K81" i="1"/>
  <c r="I81" i="1"/>
  <c r="L81" i="1" s="1"/>
  <c r="M80" i="1"/>
  <c r="K80" i="1"/>
  <c r="K84" i="1" s="1"/>
  <c r="I80" i="1"/>
  <c r="L80" i="1" s="1"/>
  <c r="M79" i="1"/>
  <c r="K79" i="1"/>
  <c r="C13" i="2" s="1"/>
  <c r="I79" i="1"/>
  <c r="I84" i="1" s="1"/>
  <c r="M75" i="1"/>
  <c r="L75" i="1"/>
  <c r="K75" i="1"/>
  <c r="I75" i="1"/>
  <c r="M74" i="1"/>
  <c r="K74" i="1"/>
  <c r="I74" i="1"/>
  <c r="L74" i="1" s="1"/>
  <c r="M73" i="1"/>
  <c r="L73" i="1"/>
  <c r="K73" i="1"/>
  <c r="I73" i="1"/>
  <c r="M72" i="1"/>
  <c r="K72" i="1"/>
  <c r="I72" i="1"/>
  <c r="L72" i="1" s="1"/>
  <c r="M71" i="1"/>
  <c r="L71" i="1"/>
  <c r="K71" i="1"/>
  <c r="I71" i="1"/>
  <c r="M70" i="1"/>
  <c r="K70" i="1"/>
  <c r="C12" i="2" s="1"/>
  <c r="I70" i="1"/>
  <c r="L70" i="1" s="1"/>
  <c r="M66" i="1"/>
  <c r="L66" i="1"/>
  <c r="K66" i="1"/>
  <c r="I66" i="1"/>
  <c r="M65" i="1"/>
  <c r="L65" i="1"/>
  <c r="K65" i="1"/>
  <c r="I65" i="1"/>
  <c r="M64" i="1"/>
  <c r="L64" i="1"/>
  <c r="K64" i="1"/>
  <c r="I64" i="1"/>
  <c r="M63" i="1"/>
  <c r="L63" i="1"/>
  <c r="K63" i="1"/>
  <c r="I63" i="1"/>
  <c r="M62" i="1"/>
  <c r="L62" i="1"/>
  <c r="K62" i="1"/>
  <c r="I62" i="1"/>
  <c r="M61" i="1"/>
  <c r="L61" i="1"/>
  <c r="K61" i="1"/>
  <c r="I61" i="1"/>
  <c r="M60" i="1"/>
  <c r="L60" i="1"/>
  <c r="K60" i="1"/>
  <c r="I60" i="1"/>
  <c r="M59" i="1"/>
  <c r="L59" i="1"/>
  <c r="L67" i="1" s="1"/>
  <c r="K59" i="1"/>
  <c r="K67" i="1" s="1"/>
  <c r="I59" i="1"/>
  <c r="I67" i="1" s="1"/>
  <c r="M55" i="1"/>
  <c r="K55" i="1"/>
  <c r="I55" i="1"/>
  <c r="L55" i="1" s="1"/>
  <c r="M54" i="1"/>
  <c r="L54" i="1"/>
  <c r="K54" i="1"/>
  <c r="I54" i="1"/>
  <c r="M53" i="1"/>
  <c r="K53" i="1"/>
  <c r="I53" i="1"/>
  <c r="L53" i="1" s="1"/>
  <c r="M52" i="1"/>
  <c r="L52" i="1"/>
  <c r="K52" i="1"/>
  <c r="I52" i="1"/>
  <c r="M51" i="1"/>
  <c r="K51" i="1"/>
  <c r="I51" i="1"/>
  <c r="L51" i="1" s="1"/>
  <c r="M50" i="1"/>
  <c r="L50" i="1"/>
  <c r="K50" i="1"/>
  <c r="I50" i="1"/>
  <c r="M49" i="1"/>
  <c r="K49" i="1"/>
  <c r="I49" i="1"/>
  <c r="L49" i="1" s="1"/>
  <c r="M48" i="1"/>
  <c r="L48" i="1"/>
  <c r="K48" i="1"/>
  <c r="I48" i="1"/>
  <c r="M47" i="1"/>
  <c r="K47" i="1"/>
  <c r="I47" i="1"/>
  <c r="L47" i="1" s="1"/>
  <c r="M46" i="1"/>
  <c r="L46" i="1"/>
  <c r="K46" i="1"/>
  <c r="I46" i="1"/>
  <c r="M45" i="1"/>
  <c r="K45" i="1"/>
  <c r="I45" i="1"/>
  <c r="L45" i="1" s="1"/>
  <c r="M44" i="1"/>
  <c r="L44" i="1"/>
  <c r="K44" i="1"/>
  <c r="I44" i="1"/>
  <c r="M43" i="1"/>
  <c r="K43" i="1"/>
  <c r="I43" i="1"/>
  <c r="L43" i="1" s="1"/>
  <c r="M42" i="1"/>
  <c r="L42" i="1"/>
  <c r="K42" i="1"/>
  <c r="I42" i="1"/>
  <c r="M41" i="1"/>
  <c r="K41" i="1"/>
  <c r="I41" i="1"/>
  <c r="L41" i="1" s="1"/>
  <c r="M40" i="1"/>
  <c r="L40" i="1"/>
  <c r="K40" i="1"/>
  <c r="I40" i="1"/>
  <c r="M39" i="1"/>
  <c r="K39" i="1"/>
  <c r="I39" i="1"/>
  <c r="L39" i="1" s="1"/>
  <c r="M38" i="1"/>
  <c r="L38" i="1"/>
  <c r="K38" i="1"/>
  <c r="I38" i="1"/>
  <c r="M37" i="1"/>
  <c r="K37" i="1"/>
  <c r="I37" i="1"/>
  <c r="L37" i="1" s="1"/>
  <c r="M36" i="1"/>
  <c r="L36" i="1"/>
  <c r="K36" i="1"/>
  <c r="I36" i="1"/>
  <c r="M35" i="1"/>
  <c r="K35" i="1"/>
  <c r="I35" i="1"/>
  <c r="L35" i="1" s="1"/>
  <c r="M34" i="1"/>
  <c r="L34" i="1"/>
  <c r="K34" i="1"/>
  <c r="I34" i="1"/>
  <c r="M33" i="1"/>
  <c r="K33" i="1"/>
  <c r="I33" i="1"/>
  <c r="L33" i="1" s="1"/>
  <c r="M32" i="1"/>
  <c r="L32" i="1"/>
  <c r="K32" i="1"/>
  <c r="C10" i="2" s="1"/>
  <c r="I32" i="1"/>
  <c r="I56" i="1" s="1"/>
  <c r="M28" i="1"/>
  <c r="K28" i="1"/>
  <c r="I28" i="1"/>
  <c r="L28" i="1" s="1"/>
  <c r="M27" i="1"/>
  <c r="K27" i="1"/>
  <c r="I27" i="1"/>
  <c r="L27" i="1" s="1"/>
  <c r="M26" i="1"/>
  <c r="K26" i="1"/>
  <c r="C28" i="2" s="1"/>
  <c r="I26" i="1"/>
  <c r="B28" i="2" s="1"/>
  <c r="M25" i="1"/>
  <c r="K25" i="1"/>
  <c r="C26" i="2" s="1"/>
  <c r="I25" i="1"/>
  <c r="L25" i="1" s="1"/>
  <c r="D26" i="2" s="1"/>
  <c r="M24" i="1"/>
  <c r="K24" i="1"/>
  <c r="I24" i="1"/>
  <c r="L24" i="1" s="1"/>
  <c r="M23" i="1"/>
  <c r="K23" i="1"/>
  <c r="I23" i="1"/>
  <c r="L23" i="1" s="1"/>
  <c r="M22" i="1"/>
  <c r="K22" i="1"/>
  <c r="I22" i="1"/>
  <c r="L22" i="1" s="1"/>
  <c r="M21" i="1"/>
  <c r="K21" i="1"/>
  <c r="I21" i="1"/>
  <c r="L21" i="1" s="1"/>
  <c r="M20" i="1"/>
  <c r="K20" i="1"/>
  <c r="I20" i="1"/>
  <c r="L20" i="1" s="1"/>
  <c r="M19" i="1"/>
  <c r="K19" i="1"/>
  <c r="I19" i="1"/>
  <c r="L19" i="1" s="1"/>
  <c r="M18" i="1"/>
  <c r="K18" i="1"/>
  <c r="I18" i="1"/>
  <c r="L18" i="1" s="1"/>
  <c r="M17" i="1"/>
  <c r="K17" i="1"/>
  <c r="I17" i="1"/>
  <c r="L17" i="1" s="1"/>
  <c r="M16" i="1"/>
  <c r="K16" i="1"/>
  <c r="I16" i="1"/>
  <c r="L16" i="1" s="1"/>
  <c r="M15" i="1"/>
  <c r="K15" i="1"/>
  <c r="I15" i="1"/>
  <c r="L15" i="1" s="1"/>
  <c r="K14" i="1"/>
  <c r="M14" i="1" s="1"/>
  <c r="I14" i="1"/>
  <c r="M13" i="1"/>
  <c r="K13" i="1"/>
  <c r="I13" i="1"/>
  <c r="L13" i="1" s="1"/>
  <c r="M12" i="1"/>
  <c r="K12" i="1"/>
  <c r="I12" i="1"/>
  <c r="L12" i="1" s="1"/>
  <c r="M11" i="1"/>
  <c r="K11" i="1"/>
  <c r="I11" i="1"/>
  <c r="L11" i="1" s="1"/>
  <c r="M10" i="1"/>
  <c r="K10" i="1"/>
  <c r="I10" i="1"/>
  <c r="L10" i="1" s="1"/>
  <c r="M9" i="1"/>
  <c r="K9" i="1"/>
  <c r="I9" i="1"/>
  <c r="L9" i="1" s="1"/>
  <c r="M8" i="1"/>
  <c r="K8" i="1"/>
  <c r="I8" i="1"/>
  <c r="L8" i="1" s="1"/>
  <c r="K7" i="1"/>
  <c r="K29" i="1" s="1"/>
  <c r="I7" i="1"/>
  <c r="L14" i="1" l="1"/>
  <c r="M7" i="1"/>
  <c r="L7" i="1"/>
  <c r="L29" i="1"/>
  <c r="D9" i="2"/>
  <c r="D10" i="2"/>
  <c r="D12" i="2"/>
  <c r="L76" i="1"/>
  <c r="K56" i="1"/>
  <c r="K89" i="1"/>
  <c r="L56" i="1"/>
  <c r="L89" i="1"/>
  <c r="B9" i="2"/>
  <c r="B11" i="2"/>
  <c r="B13" i="2"/>
  <c r="B26" i="2"/>
  <c r="L26" i="1"/>
  <c r="D28" i="2" s="1"/>
  <c r="L79" i="1"/>
  <c r="C9" i="2"/>
  <c r="C14" i="2" s="1"/>
  <c r="C11" i="2"/>
  <c r="B16" i="2"/>
  <c r="D11" i="2"/>
  <c r="I76" i="1"/>
  <c r="B10" i="2"/>
  <c r="B12" i="2"/>
  <c r="I29" i="1"/>
  <c r="K76" i="1"/>
  <c r="B14" i="2" l="1"/>
  <c r="L84" i="1"/>
  <c r="D13" i="2"/>
  <c r="D14" i="2" s="1"/>
  <c r="D15" i="2" l="1"/>
  <c r="D17" i="2" s="1"/>
  <c r="D19" i="2" s="1"/>
  <c r="B15" i="2"/>
  <c r="B17" i="2"/>
  <c r="B19" i="2" s="1"/>
  <c r="D21" i="2" l="1"/>
  <c r="D27" i="2"/>
  <c r="D20" i="2"/>
  <c r="D22" i="2"/>
  <c r="B21" i="2"/>
  <c r="B27" i="2"/>
  <c r="B20" i="2"/>
  <c r="B22" i="2"/>
</calcChain>
</file>

<file path=xl/sharedStrings.xml><?xml version="1.0" encoding="utf-8"?>
<sst xmlns="http://schemas.openxmlformats.org/spreadsheetml/2006/main" count="534" uniqueCount="319">
  <si>
    <t>RENCANA ANGGARAN BIAYA — Alat Praktikum Fluida Dinamis (Debit, Kontinuitas, Bernoulli)</t>
  </si>
  <si>
    <t>Desain: Rev. 08 — satu tangki, pompa langsung, leher angsa, tanpa servo. Paket inti = zona A + B.</t>
  </si>
  <si>
    <t>Harga perkiraan = kisaran marketplace Indonesia, belum diverifikasi. Kolom kuning diisi setelah riset; total, subtotal, dan ringkasan terhitung otomatis. Total Dipakai memakai harga online bila sudah diisi.</t>
  </si>
  <si>
    <t>No</t>
  </si>
  <si>
    <t>Nama Barang</t>
  </si>
  <si>
    <t>Spesifikasi</t>
  </si>
  <si>
    <t>Fungsi</t>
  </si>
  <si>
    <t>Paket</t>
  </si>
  <si>
    <t>Satuan</t>
  </si>
  <si>
    <t>Jumlah</t>
  </si>
  <si>
    <t>Harga Perkiraan
(Rp/satuan)</t>
  </si>
  <si>
    <t>Total Perkiraan
(Rp)</t>
  </si>
  <si>
    <t>Harga Online Shop
(Rp/satuan)</t>
  </si>
  <si>
    <t>Total Online
(Rp)</t>
  </si>
  <si>
    <t>Total Dipakai
(Rp)</t>
  </si>
  <si>
    <t>Selisih
(Online − Perkiraan)</t>
  </si>
  <si>
    <t>Toko / Link</t>
  </si>
  <si>
    <t>Status</t>
  </si>
  <si>
    <t>Catatan</t>
  </si>
  <si>
    <t>A. ELEKTRONIK</t>
  </si>
  <si>
    <t>Arduino Nano (clone CH340)</t>
  </si>
  <si>
    <t>ATmega328P, 5 V</t>
  </si>
  <si>
    <t>Otak alat: baca S1, kontrol PI pompa, layar, tombol</t>
  </si>
  <si>
    <t>Inti</t>
  </si>
  <si>
    <t>pcs</t>
  </si>
  <si>
    <t>Belum</t>
  </si>
  <si>
    <t>Uno clone ± Rp85 rb kalau ingin lebih mudah dirakit</t>
  </si>
  <si>
    <t>LCD 20×4 + modul I2C</t>
  </si>
  <si>
    <t>20×4 karakter, backlight</t>
  </si>
  <si>
    <t>Tampil debit, kecepatan, prediksi, pesan error</t>
  </si>
  <si>
    <t>Sensor flow YF-S201 (S1)</t>
  </si>
  <si>
    <t>Ulir G1/2", 1–30 L/min, hall-effect</t>
  </si>
  <si>
    <t>Debit utama</t>
  </si>
  <si>
    <t>Wajib dikalibrasi volumetrik</t>
  </si>
  <si>
    <t>Sensor flow YF-S201 (cadangan)</t>
  </si>
  <si>
    <t>Sama dengan S1</t>
  </si>
  <si>
    <t>Suku cadang bila S1 rusak saat pengambilan data</t>
  </si>
  <si>
    <t>Bisa dicoret kalau budget ketat</t>
  </si>
  <si>
    <t>Pompa celup DC 12 V</t>
  </si>
  <si>
    <t>± 600–800 L/jam, head maks 3–5 m, outlet 1/2"–3/4"</t>
  </si>
  <si>
    <t>Mendorong aliran</t>
  </si>
  <si>
    <t>Uji bangku: 6 L/min tercapai di PWM &lt; 80% tanpa tersendat. Banyak tipe brushless kurang cocok di-PWM</t>
  </si>
  <si>
    <t>Modul MOSFET logic-level</t>
  </si>
  <si>
    <t>D4184 / IRLZ44N, ≥ 5 A</t>
  </si>
  <si>
    <t>Driver PWM pompa</t>
  </si>
  <si>
    <t>Pull-down 10 kΩ di gate → pompa mati saat reset/upload</t>
  </si>
  <si>
    <t>Modul step-down 12 V → 5 V</t>
  </si>
  <si>
    <t>LM2596 / Mini-360</t>
  </si>
  <si>
    <t>Catu daya MCU &amp; LCD</t>
  </si>
  <si>
    <t>Adaptor 12 V 5 A</t>
  </si>
  <si>
    <t>Switching, casing tertutup</t>
  </si>
  <si>
    <t>Sumber daya utama</t>
  </si>
  <si>
    <t>Letakkan jauh dari air</t>
  </si>
  <si>
    <t>Sekring + holder inline</t>
  </si>
  <si>
    <t>3–5 A</t>
  </si>
  <si>
    <t>Proteksi hubung singkat</t>
  </si>
  <si>
    <t>set</t>
  </si>
  <si>
    <t>Saklar daya (rocker)</t>
  </si>
  <si>
    <t>6 A</t>
  </si>
  <si>
    <t>ON/OFF alat</t>
  </si>
  <si>
    <t>Jack DC panel female</t>
  </si>
  <si>
    <t>5,5 × 2,1 mm</t>
  </si>
  <si>
    <t>Input adaptor</t>
  </si>
  <si>
    <t>Potensiometer 10 kΩ + knob</t>
  </si>
  <si>
    <t>Linear, dudukan panel</t>
  </si>
  <si>
    <t>Kenop target debit</t>
  </si>
  <si>
    <t>Tombol tekan panel</t>
  </si>
  <si>
    <t>12 mm, momentary</t>
  </si>
  <si>
    <t>Tombol CEK + Start/Stop</t>
  </si>
  <si>
    <t>Buzzer aktif 5 V</t>
  </si>
  <si>
    <t>Sonifikasi debit &amp; alarm</t>
  </si>
  <si>
    <t>Komponen pasif</t>
  </si>
  <si>
    <t>Resistor 10 kΩ &amp; 4,7 kΩ, kapasitor filter, dioda flyback 1N5819</t>
  </si>
  <si>
    <t>Pull-down gate, pull-up &amp; filter sensor, proteksi pompa</t>
  </si>
  <si>
    <t>paket</t>
  </si>
  <si>
    <t>PCB lubang + header + terminal sekrup</t>
  </si>
  <si>
    <t>± 7 × 9 cm</t>
  </si>
  <si>
    <t>Papan rangkaian</t>
  </si>
  <si>
    <t>Kabel &amp; heatshrink</t>
  </si>
  <si>
    <t>Kabel serabut, jumper, kabel sensor berpelindung ± 5 m</t>
  </si>
  <si>
    <t>Pengkabelan; jalur sensor dipisah dari kabel pompa</t>
  </si>
  <si>
    <t>Kabel berpelindung mengurangi pulsa palsu dari derau motor</t>
  </si>
  <si>
    <t>Kotak elektronik tahan cipratan</t>
  </si>
  <si>
    <t>Junction box IP65 ± 15 × 10 × 7 cm</t>
  </si>
  <si>
    <t>Elektronik di atas garis air</t>
  </si>
  <si>
    <t>Sensor flow YF-S401 (S2)</t>
  </si>
  <si>
    <t>0,3–6 L/min</t>
  </si>
  <si>
    <t>Sensor kedua di zona C</t>
  </si>
  <si>
    <t>Lengkap</t>
  </si>
  <si>
    <t>Uji rugi tekanan dulu: harus ≤ ± 90 mm di 6 L/min</t>
  </si>
  <si>
    <t>Stop kontak / adaptor ber-RCD</t>
  </si>
  <si>
    <t>Portable RCD 30 mA</t>
  </si>
  <si>
    <t>Keselamatan listrik dekat air</t>
  </si>
  <si>
    <t>Opsional</t>
  </si>
  <si>
    <t>Tidak perlu jika stop kontak lab sudah ber-RCD</t>
  </si>
  <si>
    <t>Sensor tekanan analog 0–10 kPa</t>
  </si>
  <si>
    <t>MPX5010DP / XGZP6847</t>
  </si>
  <si>
    <t>Demo hidrostatis tangki</t>
  </si>
  <si>
    <t>Hanya jika hidrostatis masuk materi skripsi</t>
  </si>
  <si>
    <t>Sensor ultrasonik HC-SR04</t>
  </si>
  <si>
    <t>Tinggi air tangki (demo hidrostatis)</t>
  </si>
  <si>
    <t>Pasangan sensor tekanan di atas</t>
  </si>
  <si>
    <t>Subtotal Elektronik — paket inti</t>
  </si>
  <si>
    <t>B. MEKANIS — HIDROLIK (pipa, aliran, manometer)</t>
  </si>
  <si>
    <t>Tangki akrilik custom + tutup</t>
  </si>
  <si>
    <t>± 30 × 20 × 25 cm, tebal 4–5 mm</t>
  </si>
  <si>
    <t>Tangki air tunggal</t>
  </si>
  <si>
    <t>Alternatif hemat: kontainer plastik bening ± Rp60 rb. Uji bangku pakai ember</t>
  </si>
  <si>
    <t>Sekat tangki</t>
  </si>
  <si>
    <t>Potongan akrilik</t>
  </si>
  <si>
    <t>Pisahkan air balik dari hisapan pompa</t>
  </si>
  <si>
    <t>Saringan hisapan pompa</t>
  </si>
  <si>
    <t>Spons / kasa halus</t>
  </si>
  <si>
    <t>Cegah serpihan menyumbat S1 &amp; sadap</t>
  </si>
  <si>
    <t>Tabung akrilik OD 25 / ID 19 mm</t>
  </si>
  <si>
    <t>Panjang 1 m per batang</t>
  </si>
  <si>
    <t>Pipa uji: sebelum venturi &amp; tanjakan</t>
  </si>
  <si>
    <t>batang</t>
  </si>
  <si>
    <t>Ukur ID riil dengan jangka sorong sebelum cetak venturi</t>
  </si>
  <si>
    <t>Venturi cetak 3D PETG</t>
  </si>
  <si>
    <t>ID 19 → leher 10 → 19, nipple sadap menyatu</t>
  </si>
  <si>
    <t>Zona A (bukti utama)</t>
  </si>
  <si>
    <t>Cetak 3, pakai yang lehernya paling presisi (Δh ∝ d⁻⁴)</t>
  </si>
  <si>
    <t>Katup searah swing/flapper 3/4"</t>
  </si>
  <si>
    <t>Tekanan buka rendah (bukan tipe pegas)</t>
  </si>
  <si>
    <t>Tahan air saat pompa mati → uji nol</t>
  </si>
  <si>
    <t>Uji bangku: tahan kolom 170 mm ≥ 10 menit</t>
  </si>
  <si>
    <t>Ball valve PVC 3/4"</t>
  </si>
  <si>
    <t>Penyetelan &amp; perawatan (bukan kenop siswa)</t>
  </si>
  <si>
    <t>Pipa PVC 3/4" AW</t>
  </si>
  <si>
    <t>1 batang 4 m</t>
  </si>
  <si>
    <t>Leher angsa, pipa balik, pipa limpah</t>
  </si>
  <si>
    <t>Fitting PVC 3/4"</t>
  </si>
  <si>
    <t>Elbow, tee, sok drat (± 10 pcs)</t>
  </si>
  <si>
    <t>Sambungan pipa</t>
  </si>
  <si>
    <t>Sok reduksi 3/4" ↔ 1/2"</t>
  </si>
  <si>
    <t>Ulir dalam 1/2" untuk YF-S201</t>
  </si>
  <si>
    <t>Sambung S1</t>
  </si>
  <si>
    <t>Sambungan akrilik ↔ PVC</t>
  </si>
  <si>
    <t>Rubber coupling / sok OD 25 mm</t>
  </si>
  <si>
    <t>Transisi tabung akrilik ke fitting PVC</t>
  </si>
  <si>
    <t>Tank connector (bulkhead) 3/4"</t>
  </si>
  <si>
    <t>Dengan seal karet</t>
  </si>
  <si>
    <t>Keluaran pompa &amp; masuk air balik</t>
  </si>
  <si>
    <t>Air balik masuk dari atas, jauh dari pompa</t>
  </si>
  <si>
    <t>Corong plastik</t>
  </si>
  <si>
    <t>Ø ± 8 cm</t>
  </si>
  <si>
    <t>Penampung air jatuh dari leher angsa (anti sifon)</t>
  </si>
  <si>
    <t>Keran kuras 1/2"</t>
  </si>
  <si>
    <t>Pengurasan tangki (cegah lumut &amp; jentik)</t>
  </si>
  <si>
    <t>Tabung manometer bening</t>
  </si>
  <si>
    <t>Akrilik OD 10 / ID 7 mm, 40 cm — satu batch, ID sama</t>
  </si>
  <si>
    <t>Kolom manometer 1–5</t>
  </si>
  <si>
    <t>ID harus identik: beda kapilaritas masuk ke Δh</t>
  </si>
  <si>
    <t>Selang bening ID 6 mm</t>
  </si>
  <si>
    <t>Silikon / PVC</t>
  </si>
  <si>
    <t>Sadap → tabung, pipa limpah panel</t>
  </si>
  <si>
    <t>m</t>
  </si>
  <si>
    <t>Nipple kuningan barb 6 mm</t>
  </si>
  <si>
    <t>Ulir M5 / 1/8"</t>
  </si>
  <si>
    <t>Titik sadap di tabung akrilik (sadap 1, 3, 4, 5)</t>
  </si>
  <si>
    <t>Sadap 2 sudah menyatu dengan venturi</t>
  </si>
  <si>
    <t>Klem penjepit selang</t>
  </si>
  <si>
    <t>Pinch clamp</t>
  </si>
  <si>
    <t>Buang udara per selang</t>
  </si>
  <si>
    <t>Peredam kolom</t>
  </si>
  <si>
    <t>Jarum tumpul 18–20 G / pipa kapiler</t>
  </si>
  <si>
    <t>Redam getaran kolom akibat pompa</t>
  </si>
  <si>
    <t>Manifold limpah manometer</t>
  </si>
  <si>
    <t>Talang di atas tabung + selang ke tangki</t>
  </si>
  <si>
    <t>Air yang meluap kembali ke tangki, tidak ke elektronik</t>
  </si>
  <si>
    <t>Tabung akrilik OD 19 / ID 13 mm</t>
  </si>
  <si>
    <t>1 m</t>
  </si>
  <si>
    <t>Pipa zona C</t>
  </si>
  <si>
    <t>Reducer 19 → 13 mm (cetak 3D)</t>
  </si>
  <si>
    <t>Dengan nipple sadap 6</t>
  </si>
  <si>
    <t>Penyempitan zona C</t>
  </si>
  <si>
    <t>Tabung manometer ke-6</t>
  </si>
  <si>
    <t>Sama dengan tabung 1–5</t>
  </si>
  <si>
    <t>Kolom zona C / tabung pitot</t>
  </si>
  <si>
    <t>Bisa juga untuk opsi pitot di paket inti</t>
  </si>
  <si>
    <t>Jarum stainless (tabung pitot)</t>
  </si>
  <si>
    <t>Ø ± 1,2 mm, dibengkokkan menghadap arus</t>
  </si>
  <si>
    <t>Baca energi total di leher venturi</t>
  </si>
  <si>
    <t>Subtotal Mekanis — Hidrolik — paket inti</t>
  </si>
  <si>
    <t>C. MEKANIS — STRUKTUR &amp; PANEL</t>
  </si>
  <si>
    <t>Pelat dasar</t>
  </si>
  <si>
    <t>Multipleks 18 mm atau akrilik, ± 100 × 35 cm</t>
  </si>
  <si>
    <t>Alas seluruh alat</t>
  </si>
  <si>
    <t>Rangka tegak</t>
  </si>
  <si>
    <t>Hollow aluminium 20 × 20 mm (atau kayu)</t>
  </si>
  <si>
    <t>Penyangga pipa &amp; panel</t>
  </si>
  <si>
    <t>Papan panel manometer</t>
  </si>
  <si>
    <t>PVC board / akrilik putih ± 45 × 40 cm</t>
  </si>
  <si>
    <t>Latar tabung &amp; skala</t>
  </si>
  <si>
    <t>Cetak stiker skala &amp; peta pipa</t>
  </si>
  <si>
    <t>Vinyl: skala 0–350 mm, garis merah z, skala kedua, kode warna</t>
  </si>
  <si>
    <t>Skala baca &amp; petunjuk untuk siswa</t>
  </si>
  <si>
    <t>lembar</t>
  </si>
  <si>
    <t>Klem pipa (saddle / U-clamp)</t>
  </si>
  <si>
    <t>3/4" &amp; 25 mm</t>
  </si>
  <si>
    <t>Tahan pipa ke rangka</t>
  </si>
  <si>
    <t>Klip tabung manometer</t>
  </si>
  <si>
    <t>Clip 10 mm</t>
  </si>
  <si>
    <t>Tahan tabung di panel</t>
  </si>
  <si>
    <t>Baut, mur, sekrup, siku</t>
  </si>
  <si>
    <t>Paket campur</t>
  </si>
  <si>
    <t>Perakitan rangka &amp; panel</t>
  </si>
  <si>
    <t>Kaki karet</t>
  </si>
  <si>
    <t>Stabil &amp; anti gores</t>
  </si>
  <si>
    <t>Subtotal Mekanis — Struktur &amp; Panel — paket inti</t>
  </si>
  <si>
    <t>D. BAHAN HABIS PAKAI</t>
  </si>
  <si>
    <t>Lem PVC</t>
  </si>
  <si>
    <t>Sambungan PVC</t>
  </si>
  <si>
    <t>Lem akrilik (solvent)</t>
  </si>
  <si>
    <t>Sambungan akrilik</t>
  </si>
  <si>
    <t>Sealant silikon akuarium</t>
  </si>
  <si>
    <t>Tabung ± 300 mL</t>
  </si>
  <si>
    <t>Kedap air sambungan &amp; bulkhead</t>
  </si>
  <si>
    <t>Seal tape</t>
  </si>
  <si>
    <t>Sambungan ulir</t>
  </si>
  <si>
    <t>roll</t>
  </si>
  <si>
    <t>Pewarna makanan</t>
  </si>
  <si>
    <t>Warna gelap</t>
  </si>
  <si>
    <t>Kontras kolom manometer</t>
  </si>
  <si>
    <t>botol</t>
  </si>
  <si>
    <t>Jangan disuntik untuk visual aliran (seluruh tangki ikut berwarna)</t>
  </si>
  <si>
    <t>Amplas &amp; perlengkapan finishing</t>
  </si>
  <si>
    <t>Merapikan hasil cetak &amp; potongan</t>
  </si>
  <si>
    <t>Subtotal Bahan Habis Pakai — paket inti</t>
  </si>
  <si>
    <t>E. ALAT BANTU &amp; KALIBRASI (isi jumlah 0 jika sudah punya)</t>
  </si>
  <si>
    <t>Jangka sorong digital</t>
  </si>
  <si>
    <t>0–150 mm, resolusi 0,01 mm</t>
  </si>
  <si>
    <t>Ukur ID pipa &amp; leher venturi</t>
  </si>
  <si>
    <t>Isi jumlah 0 kalau sudah punya</t>
  </si>
  <si>
    <t>Mata bor 9,5 / 10 / 10,5 mm</t>
  </si>
  <si>
    <t>Dipakai sebagai batang ukur</t>
  </si>
  <si>
    <t>Cek diameter leher venturi</t>
  </si>
  <si>
    <t>Pengganti pin gauge yang mahal</t>
  </si>
  <si>
    <t>Gelas ukur 2 L</t>
  </si>
  <si>
    <t>Skala 50 mL</t>
  </si>
  <si>
    <t>Kalibrasi volumetrik S1</t>
  </si>
  <si>
    <t>Stopwatch pakai HP</t>
  </si>
  <si>
    <t>Ember 15–20 L</t>
  </si>
  <si>
    <t>Tangki sementara uji bangku</t>
  </si>
  <si>
    <t>Waterpass / selang air</t>
  </si>
  <si>
    <t>Sejajarkan datum &amp; angka 0 skala</t>
  </si>
  <si>
    <t>Subtotal Alat Bantu &amp; Kalibrasi — paket inti</t>
  </si>
  <si>
    <t>F. BIAYA LAIN</t>
  </si>
  <si>
    <t>Ongkos kirim</t>
  </si>
  <si>
    <t>Perkiraan beberapa toko</t>
  </si>
  <si>
    <t>Sesuaikan setelah checkout</t>
  </si>
  <si>
    <t>Transport belanja lokal</t>
  </si>
  <si>
    <t>Toko bangunan, akrilik, elektronik</t>
  </si>
  <si>
    <t>Subtotal Biaya Lain — paket inti</t>
  </si>
  <si>
    <t>G. JASA</t>
  </si>
  <si>
    <t>Desain &amp; perhitungan</t>
  </si>
  <si>
    <t>Rev. 01–08, profil manometer, sketsa</t>
  </si>
  <si>
    <t>Uji bangku &amp; penyesuaian</t>
  </si>
  <si>
    <t>Pompa, S1, katup searah, venturi</t>
  </si>
  <si>
    <t>Perakitan mekanik &amp; hidrolik</t>
  </si>
  <si>
    <t>Pipa, venturi, panel manometer, uji bocor 24 jam</t>
  </si>
  <si>
    <t>Elektronik &amp; firmware</t>
  </si>
  <si>
    <t>Kontrol PI, ukur periode pulsa, pengaman luapan, LCD, tombol CEK, log serial</t>
  </si>
  <si>
    <t>Kalibrasi &amp; laporan kalibrasi</t>
  </si>
  <si>
    <t>Kalibrasi volumetrik S1, uji nol, ukur leher venturi</t>
  </si>
  <si>
    <t>Dokumentasi</t>
  </si>
  <si>
    <t>SOP, manual alat, diagram rangkaian</t>
  </si>
  <si>
    <t>Bukan LKPD/instrumen penelitian (itu isi skripsi client)</t>
  </si>
  <si>
    <t>Jasa tambahan paket lengkap</t>
  </si>
  <si>
    <t>Zona C + S2 + uji rugi tekanan S2</t>
  </si>
  <si>
    <t>Subtotal Jasa — paket inti</t>
  </si>
  <si>
    <t>RINGKASAN RAB — Rev. 08</t>
  </si>
  <si>
    <t>Semua angka dihitung dari sheet RAB. Sel kuning boleh diubah.</t>
  </si>
  <si>
    <t>Target budget total (komponen + jasa)</t>
  </si>
  <si>
    <t>Kontingensi (cadangan harga naik / salah beli)</t>
  </si>
  <si>
    <t>1. PAKET INTI (zona A + B)</t>
  </si>
  <si>
    <t>Pos</t>
  </si>
  <si>
    <t>Perkiraan</t>
  </si>
  <si>
    <t>Online (yang sudah diisi)</t>
  </si>
  <si>
    <t>Dipakai</t>
  </si>
  <si>
    <t>Harga online terisi</t>
  </si>
  <si>
    <t>Elektronik</t>
  </si>
  <si>
    <t>Mekanis — Hidrolik</t>
  </si>
  <si>
    <t>Mekanis — Struktur &amp; Panel</t>
  </si>
  <si>
    <t>Bahan Habis Pakai</t>
  </si>
  <si>
    <t>Alat Bantu &amp; Kalibrasi</t>
  </si>
  <si>
    <t>Subtotal komponen</t>
  </si>
  <si>
    <t>Kontingensi</t>
  </si>
  <si>
    <t>Subtotal komponen × persentase di B5</t>
  </si>
  <si>
    <t>Biaya lain (ongkir, transport)</t>
  </si>
  <si>
    <t>Total biaya barang</t>
  </si>
  <si>
    <t>Jasa</t>
  </si>
  <si>
    <t>TOTAL PAKET INTI</t>
  </si>
  <si>
    <t>Selisih terhadap target (+ = melebihi)</t>
  </si>
  <si>
    <t>Porsi jasa dari total</t>
  </si>
  <si>
    <t>2. PAKET LENGKAP &amp; OPSIONAL</t>
  </si>
  <si>
    <t>Keterangan</t>
  </si>
  <si>
    <t>Tambahan paket lengkap (zona C + S2)</t>
  </si>
  <si>
    <t>Barang + jasa tambahan, kontingensi hanya untuk barang</t>
  </si>
  <si>
    <t>TOTAL PAKET LENGKAP</t>
  </si>
  <si>
    <t>Syarat: YF-S401 lolos uji rugi tekanan</t>
  </si>
  <si>
    <t>Item opsional (tidak masuk total)</t>
  </si>
  <si>
    <t>RCD, demo hidrostatis, tabung pitot — ditambahkan terpisah bila dipilih</t>
  </si>
  <si>
    <t>CARA MEMAKAI RAB</t>
  </si>
  <si>
    <t>1. Isi kolom kuning di sheet RAB setelah riset: Harga Online Shop (per satuan), Toko / Link, dan Status.</t>
  </si>
  <si>
    <t>2. Total Online, Total Dipakai, Selisih, subtotal, dan sheet Ringkasan terhitung otomatis.</t>
  </si>
  <si>
    <t>3. Total Dipakai = harga online jika sudah diisi, jika belum memakai harga perkiraan. Ringkasan memakai angka ini.</t>
  </si>
  <si>
    <t>4. Barang yang sudah dimiliki (mis. jangka sorong): ubah Jumlah jadi 0, jangan hapus barisnya.</t>
  </si>
  <si>
    <t>5. Kolom Paket: Inti = masuk total paket inti; Lengkap = hanya paket lengkap; Opsional = tidak masuk total.</t>
  </si>
  <si>
    <t>6. Target budget dan persentase kontingensi bisa diubah di sheet Ringkasan (sel kuning B4 dan B5).</t>
  </si>
  <si>
    <t>7. Menambah barang: sisipkan baris di dalam kelompoknya (di atas baris Subtotal) lalu salin rumus kolom I, K, L, M dari baris di atasnya.</t>
  </si>
  <si>
    <t>CATATAN</t>
  </si>
  <si>
    <t>• Harga perkiraan adalah kisaran marketplace, bukan harga pasti. Verifikasi sebelum dikirim ke client.</t>
  </si>
  <si>
    <t>• Jangan belanja penuh sebelum kesepakatan tertulis dan DP.</t>
  </si>
  <si>
    <t>• Ukuran pipa (ID 19 / 10 / 13 mm) masih asumsi tabung akrilik tebal 3 mm; ukur ID riil sebelum mencetak venturi.</t>
  </si>
  <si>
    <t>• Jasa dokumentasi = SOP, manual alat, diagram rangkaian. LKPD dan instrumen penelitian adalah isi skripsi client, bukan bagian RAB ini.</t>
  </si>
  <si>
    <t>• Acuan desain: catatan/konteks-dan-spesifikasi.md dan desain/perhitungan/.</t>
  </si>
  <si>
    <t>https://shopee.co.id/MAXPUMP-Pompa-Celup-Air-Bersih-DC-12V-24V-Submersible-Pump-Pompa-Kolam-Ikan-Brushless-5m-Aquarium-Hidroponik-i.17799491.12107841427?extraParams=%7B%22display_model_id%22%3A227492409707%2C%22model_selection_logic%22%3A3%7D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</si>
</sst>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p&quot;#,##0;[Red]\-&quot;Rp&quot;#,##0;&quot;-&quot;"/>
  </numFmts>
  <fonts count="9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b/>
      <sz val="11"/>
      <color rgb="FF1F3A5F"/>
      <name val="Calibri"/>
    </font>
    <font>
      <i/>
      <sz val="11"/>
      <color rgb="FF7F7F7F"/>
      <name val="Calibri"/>
    </font>
    <font>
      <b/>
      <sz val="11"/>
      <name val="Calibri"/>
    </font>
    <font>
      <b/>
      <sz val="12"/>
      <color rgb="FF1F3A5F"/>
      <name val="Calibri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2F2F2"/>
      </patternFill>
    </fill>
    <fill>
      <patternFill patternType="solid">
        <f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horizontal="center" vertical="top" wrapText="1"/>
    </xf>
    <xf numFmtId="164" fontId="0" fillId="0" borderId="1" xfId="0" applyNumberFormat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/>
    <xf numFmtId="164" fontId="6" fillId="5" borderId="1" xfId="0" applyNumberFormat="1" applyFont="1" applyFill="1" applyBorder="1"/>
    <xf numFmtId="164" fontId="0" fillId="6" borderId="1" xfId="0" applyNumberForma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0" borderId="0" xfId="0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9" fontId="0" fillId="4" borderId="1" xfId="0" applyNumberForma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164" fontId="6" fillId="5" borderId="1" xfId="0" applyNumberFormat="1" applyFont="1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4" fontId="6" fillId="7" borderId="1" xfId="0" applyNumberFormat="1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164" fontId="6" fillId="0" borderId="1" xfId="0" applyNumberFormat="1" applyFont="1" applyBorder="1" applyAlignment="1">
      <alignment vertical="center" wrapText="1"/>
    </xf>
    <xf numFmtId="9" fontId="0" fillId="0" borderId="1" xfId="0" applyNumberFormat="1" applyBorder="1" applyAlignment="1">
      <alignment vertical="center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3" borderId="0" xfId="0" applyFont="1" applyFill="1"/>
    <xf numFmtId="0" fontId="0" fillId="0" borderId="0" xfId="0"/>
    <xf numFmtId="0" fontId="0" fillId="0" borderId="0" xfId="0" applyAlignment="1">
      <alignment wrapText="1"/>
    </xf>
    <xf numFmtId="0" fontId="6" fillId="5" borderId="1" xfId="0" applyFont="1" applyFill="1" applyBorder="1" applyAlignment="1">
      <alignment wrapText="1"/>
    </xf>
    <xf numFmtId="0" fontId="8" fillId="4" borderId="1" xfId="1" applyFill="1" applyBorder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hopee.co.id/MAXPUMP-Pompa-Celup-Air-Bersih-DC-12V-24V-Submersible-Pump-Pompa-Kolam-Ikan-Brushless-5m-Aquarium-Hidroponik-i.17799491.12107841427?extraParams=%7B%22display_model_id%22%3A227492409707%2C%22model_selection_logic%22%3A3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workbookViewId="0">
      <pane xSplit="2" ySplit="5" topLeftCell="C34" activePane="bottomRight" state="frozen"/>
      <selection pane="topRight"/>
      <selection pane="bottomLeft"/>
      <selection pane="bottomRight" activeCell="N8" sqref="N8"/>
    </sheetView>
  </sheetViews>
  <sheetFormatPr defaultRowHeight="14.4" x14ac:dyDescent="0.3"/>
  <cols>
    <col min="1" max="1" width="5" customWidth="1"/>
    <col min="2" max="2" width="30" customWidth="1"/>
    <col min="3" max="4" width="32" customWidth="1"/>
    <col min="5" max="5" width="9" customWidth="1"/>
    <col min="6" max="7" width="8" customWidth="1"/>
    <col min="8" max="9" width="14" customWidth="1"/>
    <col min="10" max="10" width="15" customWidth="1"/>
    <col min="11" max="12" width="14" customWidth="1"/>
    <col min="13" max="13" width="15" customWidth="1"/>
    <col min="14" max="14" width="24" style="33" customWidth="1"/>
    <col min="15" max="15" width="11" customWidth="1"/>
    <col min="16" max="16" width="40" customWidth="1"/>
  </cols>
  <sheetData>
    <row r="1" spans="1:16" ht="18" x14ac:dyDescent="0.35">
      <c r="A1" s="1" t="s">
        <v>0</v>
      </c>
    </row>
    <row r="2" spans="1:16" x14ac:dyDescent="0.3">
      <c r="A2" s="2" t="s">
        <v>1</v>
      </c>
    </row>
    <row r="3" spans="1:16" x14ac:dyDescent="0.3">
      <c r="A3" s="2" t="s">
        <v>2</v>
      </c>
    </row>
    <row r="5" spans="1:16" ht="31.9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</row>
    <row r="6" spans="1:16" x14ac:dyDescent="0.3">
      <c r="A6" s="31" t="s">
        <v>19</v>
      </c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</row>
    <row r="7" spans="1:16" ht="28.8" x14ac:dyDescent="0.3">
      <c r="A7" s="4">
        <v>1</v>
      </c>
      <c r="B7" s="5" t="s">
        <v>20</v>
      </c>
      <c r="C7" s="5" t="s">
        <v>21</v>
      </c>
      <c r="D7" s="5" t="s">
        <v>22</v>
      </c>
      <c r="E7" s="4" t="s">
        <v>23</v>
      </c>
      <c r="F7" s="4" t="s">
        <v>24</v>
      </c>
      <c r="G7" s="6">
        <v>1</v>
      </c>
      <c r="H7" s="7">
        <v>50000</v>
      </c>
      <c r="I7" s="7">
        <f t="shared" ref="I7:I28" si="0">G7*H7</f>
        <v>50000</v>
      </c>
      <c r="J7" s="8">
        <v>0</v>
      </c>
      <c r="K7" s="7">
        <f t="shared" ref="K7:K28" si="1">IF(J7="","",G7*J7)</f>
        <v>0</v>
      </c>
      <c r="L7" s="7">
        <f t="shared" ref="L7:L28" si="2">IF(J7="",I7,K7)</f>
        <v>0</v>
      </c>
      <c r="M7" s="7">
        <f t="shared" ref="M7:M28" si="3">IF(J7="","",K7-I7)</f>
        <v>-50000</v>
      </c>
      <c r="N7" s="9"/>
      <c r="O7" s="6" t="s">
        <v>25</v>
      </c>
      <c r="P7" s="5" t="s">
        <v>26</v>
      </c>
    </row>
    <row r="8" spans="1:16" ht="28.8" x14ac:dyDescent="0.3">
      <c r="A8" s="4">
        <v>2</v>
      </c>
      <c r="B8" s="5" t="s">
        <v>27</v>
      </c>
      <c r="C8" s="5" t="s">
        <v>28</v>
      </c>
      <c r="D8" s="5" t="s">
        <v>29</v>
      </c>
      <c r="E8" s="4" t="s">
        <v>23</v>
      </c>
      <c r="F8" s="4" t="s">
        <v>24</v>
      </c>
      <c r="G8" s="6">
        <v>1</v>
      </c>
      <c r="H8" s="7">
        <v>75000</v>
      </c>
      <c r="I8" s="7">
        <f t="shared" si="0"/>
        <v>75000</v>
      </c>
      <c r="J8" s="8"/>
      <c r="K8" s="7" t="str">
        <f t="shared" si="1"/>
        <v/>
      </c>
      <c r="L8" s="7">
        <f t="shared" si="2"/>
        <v>75000</v>
      </c>
      <c r="M8" s="7" t="str">
        <f t="shared" si="3"/>
        <v/>
      </c>
      <c r="N8" s="9"/>
      <c r="O8" s="6" t="s">
        <v>25</v>
      </c>
      <c r="P8" s="5"/>
    </row>
    <row r="9" spans="1:16" x14ac:dyDescent="0.3">
      <c r="A9" s="4">
        <v>3</v>
      </c>
      <c r="B9" s="5" t="s">
        <v>30</v>
      </c>
      <c r="C9" s="5" t="s">
        <v>31</v>
      </c>
      <c r="D9" s="5" t="s">
        <v>32</v>
      </c>
      <c r="E9" s="4" t="s">
        <v>23</v>
      </c>
      <c r="F9" s="4" t="s">
        <v>24</v>
      </c>
      <c r="G9" s="6">
        <v>1</v>
      </c>
      <c r="H9" s="7">
        <v>35000</v>
      </c>
      <c r="I9" s="7">
        <f t="shared" si="0"/>
        <v>35000</v>
      </c>
      <c r="J9" s="8"/>
      <c r="K9" s="7" t="str">
        <f t="shared" si="1"/>
        <v/>
      </c>
      <c r="L9" s="7">
        <f t="shared" si="2"/>
        <v>35000</v>
      </c>
      <c r="M9" s="7" t="str">
        <f t="shared" si="3"/>
        <v/>
      </c>
      <c r="N9" s="9"/>
      <c r="O9" s="6" t="s">
        <v>25</v>
      </c>
      <c r="P9" s="5" t="s">
        <v>33</v>
      </c>
    </row>
    <row r="10" spans="1:16" ht="28.8" x14ac:dyDescent="0.3">
      <c r="A10" s="4">
        <v>4</v>
      </c>
      <c r="B10" s="5" t="s">
        <v>34</v>
      </c>
      <c r="C10" s="5" t="s">
        <v>35</v>
      </c>
      <c r="D10" s="5" t="s">
        <v>36</v>
      </c>
      <c r="E10" s="4" t="s">
        <v>23</v>
      </c>
      <c r="F10" s="4" t="s">
        <v>24</v>
      </c>
      <c r="G10" s="6">
        <v>1</v>
      </c>
      <c r="H10" s="7">
        <v>35000</v>
      </c>
      <c r="I10" s="7">
        <f t="shared" si="0"/>
        <v>35000</v>
      </c>
      <c r="J10" s="8"/>
      <c r="K10" s="7" t="str">
        <f t="shared" si="1"/>
        <v/>
      </c>
      <c r="L10" s="7">
        <f t="shared" si="2"/>
        <v>35000</v>
      </c>
      <c r="M10" s="7" t="str">
        <f t="shared" si="3"/>
        <v/>
      </c>
      <c r="N10" s="9"/>
      <c r="O10" s="6" t="s">
        <v>25</v>
      </c>
      <c r="P10" s="5" t="s">
        <v>37</v>
      </c>
    </row>
    <row r="11" spans="1:16" ht="43.2" x14ac:dyDescent="0.3">
      <c r="A11" s="4">
        <v>5</v>
      </c>
      <c r="B11" s="5" t="s">
        <v>38</v>
      </c>
      <c r="C11" s="5" t="s">
        <v>39</v>
      </c>
      <c r="D11" s="5" t="s">
        <v>40</v>
      </c>
      <c r="E11" s="4" t="s">
        <v>23</v>
      </c>
      <c r="F11" s="4" t="s">
        <v>24</v>
      </c>
      <c r="G11" s="6">
        <v>1</v>
      </c>
      <c r="H11" s="7">
        <v>120000</v>
      </c>
      <c r="I11" s="7">
        <f t="shared" si="0"/>
        <v>120000</v>
      </c>
      <c r="J11" s="8"/>
      <c r="K11" s="7" t="str">
        <f t="shared" si="1"/>
        <v/>
      </c>
      <c r="L11" s="7">
        <f t="shared" si="2"/>
        <v>120000</v>
      </c>
      <c r="M11" s="7" t="str">
        <f t="shared" si="3"/>
        <v/>
      </c>
      <c r="N11" s="35" t="s">
        <v>318</v>
      </c>
      <c r="O11" s="6" t="s">
        <v>25</v>
      </c>
      <c r="P11" s="5" t="s">
        <v>41</v>
      </c>
    </row>
    <row r="12" spans="1:16" ht="28.8" x14ac:dyDescent="0.3">
      <c r="A12" s="4">
        <v>6</v>
      </c>
      <c r="B12" s="5" t="s">
        <v>42</v>
      </c>
      <c r="C12" s="5" t="s">
        <v>43</v>
      </c>
      <c r="D12" s="5" t="s">
        <v>44</v>
      </c>
      <c r="E12" s="4" t="s">
        <v>23</v>
      </c>
      <c r="F12" s="4" t="s">
        <v>24</v>
      </c>
      <c r="G12" s="6">
        <v>1</v>
      </c>
      <c r="H12" s="7">
        <v>15000</v>
      </c>
      <c r="I12" s="7">
        <f t="shared" si="0"/>
        <v>15000</v>
      </c>
      <c r="J12" s="8"/>
      <c r="K12" s="7" t="str">
        <f t="shared" si="1"/>
        <v/>
      </c>
      <c r="L12" s="7">
        <f t="shared" si="2"/>
        <v>15000</v>
      </c>
      <c r="M12" s="7" t="str">
        <f t="shared" si="3"/>
        <v/>
      </c>
      <c r="N12" s="9"/>
      <c r="O12" s="6" t="s">
        <v>25</v>
      </c>
      <c r="P12" s="5" t="s">
        <v>45</v>
      </c>
    </row>
    <row r="13" spans="1:16" x14ac:dyDescent="0.3">
      <c r="A13" s="4">
        <v>7</v>
      </c>
      <c r="B13" s="5" t="s">
        <v>46</v>
      </c>
      <c r="C13" s="5" t="s">
        <v>47</v>
      </c>
      <c r="D13" s="5" t="s">
        <v>48</v>
      </c>
      <c r="E13" s="4" t="s">
        <v>23</v>
      </c>
      <c r="F13" s="4" t="s">
        <v>24</v>
      </c>
      <c r="G13" s="6">
        <v>1</v>
      </c>
      <c r="H13" s="7">
        <v>12000</v>
      </c>
      <c r="I13" s="7">
        <f t="shared" si="0"/>
        <v>12000</v>
      </c>
      <c r="J13" s="8"/>
      <c r="K13" s="7" t="str">
        <f t="shared" si="1"/>
        <v/>
      </c>
      <c r="L13" s="7">
        <f t="shared" si="2"/>
        <v>12000</v>
      </c>
      <c r="M13" s="7" t="str">
        <f t="shared" si="3"/>
        <v/>
      </c>
      <c r="N13" s="9"/>
      <c r="O13" s="6" t="s">
        <v>25</v>
      </c>
      <c r="P13" s="5"/>
    </row>
    <row r="14" spans="1:16" x14ac:dyDescent="0.3">
      <c r="A14" s="4">
        <v>8</v>
      </c>
      <c r="B14" s="5" t="s">
        <v>49</v>
      </c>
      <c r="C14" s="5" t="s">
        <v>50</v>
      </c>
      <c r="D14" s="5" t="s">
        <v>51</v>
      </c>
      <c r="E14" s="4" t="s">
        <v>23</v>
      </c>
      <c r="F14" s="4" t="s">
        <v>24</v>
      </c>
      <c r="G14" s="6">
        <v>1</v>
      </c>
      <c r="H14" s="7">
        <v>70000</v>
      </c>
      <c r="I14" s="7">
        <f t="shared" si="0"/>
        <v>70000</v>
      </c>
      <c r="J14" s="8">
        <v>0</v>
      </c>
      <c r="K14" s="7">
        <f t="shared" si="1"/>
        <v>0</v>
      </c>
      <c r="L14" s="7">
        <f t="shared" si="2"/>
        <v>0</v>
      </c>
      <c r="M14" s="7">
        <f t="shared" si="3"/>
        <v>-70000</v>
      </c>
      <c r="N14" s="9"/>
      <c r="O14" s="6" t="s">
        <v>25</v>
      </c>
      <c r="P14" s="5" t="s">
        <v>52</v>
      </c>
    </row>
    <row r="15" spans="1:16" x14ac:dyDescent="0.3">
      <c r="A15" s="4">
        <v>9</v>
      </c>
      <c r="B15" s="5" t="s">
        <v>53</v>
      </c>
      <c r="C15" s="5" t="s">
        <v>54</v>
      </c>
      <c r="D15" s="5" t="s">
        <v>55</v>
      </c>
      <c r="E15" s="4" t="s">
        <v>23</v>
      </c>
      <c r="F15" s="4" t="s">
        <v>56</v>
      </c>
      <c r="G15" s="6">
        <v>1</v>
      </c>
      <c r="H15" s="7">
        <v>8000</v>
      </c>
      <c r="I15" s="7">
        <f t="shared" si="0"/>
        <v>8000</v>
      </c>
      <c r="J15" s="8"/>
      <c r="K15" s="7" t="str">
        <f t="shared" si="1"/>
        <v/>
      </c>
      <c r="L15" s="7">
        <f t="shared" si="2"/>
        <v>8000</v>
      </c>
      <c r="M15" s="7" t="str">
        <f t="shared" si="3"/>
        <v/>
      </c>
      <c r="N15" s="9"/>
      <c r="O15" s="6" t="s">
        <v>25</v>
      </c>
      <c r="P15" s="5"/>
    </row>
    <row r="16" spans="1:16" x14ac:dyDescent="0.3">
      <c r="A16" s="4">
        <v>10</v>
      </c>
      <c r="B16" s="5" t="s">
        <v>57</v>
      </c>
      <c r="C16" s="5" t="s">
        <v>58</v>
      </c>
      <c r="D16" s="5" t="s">
        <v>59</v>
      </c>
      <c r="E16" s="4" t="s">
        <v>23</v>
      </c>
      <c r="F16" s="4" t="s">
        <v>24</v>
      </c>
      <c r="G16" s="6">
        <v>1</v>
      </c>
      <c r="H16" s="7">
        <v>5000</v>
      </c>
      <c r="I16" s="7">
        <f t="shared" si="0"/>
        <v>5000</v>
      </c>
      <c r="J16" s="8"/>
      <c r="K16" s="7" t="str">
        <f t="shared" si="1"/>
        <v/>
      </c>
      <c r="L16" s="7">
        <f t="shared" si="2"/>
        <v>5000</v>
      </c>
      <c r="M16" s="7" t="str">
        <f t="shared" si="3"/>
        <v/>
      </c>
      <c r="N16" s="9"/>
      <c r="O16" s="6" t="s">
        <v>25</v>
      </c>
      <c r="P16" s="5"/>
    </row>
    <row r="17" spans="1:16" x14ac:dyDescent="0.3">
      <c r="A17" s="4">
        <v>11</v>
      </c>
      <c r="B17" s="5" t="s">
        <v>60</v>
      </c>
      <c r="C17" s="5" t="s">
        <v>61</v>
      </c>
      <c r="D17" s="5" t="s">
        <v>62</v>
      </c>
      <c r="E17" s="4" t="s">
        <v>23</v>
      </c>
      <c r="F17" s="4" t="s">
        <v>24</v>
      </c>
      <c r="G17" s="6">
        <v>1</v>
      </c>
      <c r="H17" s="7">
        <v>5000</v>
      </c>
      <c r="I17" s="7">
        <f t="shared" si="0"/>
        <v>5000</v>
      </c>
      <c r="J17" s="8"/>
      <c r="K17" s="7" t="str">
        <f t="shared" si="1"/>
        <v/>
      </c>
      <c r="L17" s="7">
        <f t="shared" si="2"/>
        <v>5000</v>
      </c>
      <c r="M17" s="7" t="str">
        <f t="shared" si="3"/>
        <v/>
      </c>
      <c r="N17" s="9"/>
      <c r="O17" s="6" t="s">
        <v>25</v>
      </c>
      <c r="P17" s="5"/>
    </row>
    <row r="18" spans="1:16" x14ac:dyDescent="0.3">
      <c r="A18" s="4">
        <v>12</v>
      </c>
      <c r="B18" s="5" t="s">
        <v>63</v>
      </c>
      <c r="C18" s="5" t="s">
        <v>64</v>
      </c>
      <c r="D18" s="5" t="s">
        <v>65</v>
      </c>
      <c r="E18" s="4" t="s">
        <v>23</v>
      </c>
      <c r="F18" s="4" t="s">
        <v>24</v>
      </c>
      <c r="G18" s="6">
        <v>1</v>
      </c>
      <c r="H18" s="7">
        <v>10000</v>
      </c>
      <c r="I18" s="7">
        <f t="shared" si="0"/>
        <v>10000</v>
      </c>
      <c r="J18" s="8"/>
      <c r="K18" s="7" t="str">
        <f t="shared" si="1"/>
        <v/>
      </c>
      <c r="L18" s="7">
        <f t="shared" si="2"/>
        <v>10000</v>
      </c>
      <c r="M18" s="7" t="str">
        <f t="shared" si="3"/>
        <v/>
      </c>
      <c r="N18" s="9"/>
      <c r="O18" s="6" t="s">
        <v>25</v>
      </c>
      <c r="P18" s="5"/>
    </row>
    <row r="19" spans="1:16" x14ac:dyDescent="0.3">
      <c r="A19" s="4">
        <v>13</v>
      </c>
      <c r="B19" s="5" t="s">
        <v>66</v>
      </c>
      <c r="C19" s="5" t="s">
        <v>67</v>
      </c>
      <c r="D19" s="5" t="s">
        <v>68</v>
      </c>
      <c r="E19" s="4" t="s">
        <v>23</v>
      </c>
      <c r="F19" s="4" t="s">
        <v>24</v>
      </c>
      <c r="G19" s="6">
        <v>2</v>
      </c>
      <c r="H19" s="7">
        <v>5000</v>
      </c>
      <c r="I19" s="7">
        <f t="shared" si="0"/>
        <v>10000</v>
      </c>
      <c r="J19" s="8"/>
      <c r="K19" s="7" t="str">
        <f t="shared" si="1"/>
        <v/>
      </c>
      <c r="L19" s="7">
        <f t="shared" si="2"/>
        <v>10000</v>
      </c>
      <c r="M19" s="7" t="str">
        <f t="shared" si="3"/>
        <v/>
      </c>
      <c r="N19" s="9"/>
      <c r="O19" s="6" t="s">
        <v>25</v>
      </c>
      <c r="P19" s="5"/>
    </row>
    <row r="20" spans="1:16" x14ac:dyDescent="0.3">
      <c r="A20" s="4">
        <v>14</v>
      </c>
      <c r="B20" s="5" t="s">
        <v>69</v>
      </c>
      <c r="C20" s="5"/>
      <c r="D20" s="5" t="s">
        <v>70</v>
      </c>
      <c r="E20" s="4" t="s">
        <v>23</v>
      </c>
      <c r="F20" s="4" t="s">
        <v>24</v>
      </c>
      <c r="G20" s="6">
        <v>1</v>
      </c>
      <c r="H20" s="7">
        <v>5000</v>
      </c>
      <c r="I20" s="7">
        <f t="shared" si="0"/>
        <v>5000</v>
      </c>
      <c r="J20" s="8"/>
      <c r="K20" s="7" t="str">
        <f t="shared" si="1"/>
        <v/>
      </c>
      <c r="L20" s="7">
        <f t="shared" si="2"/>
        <v>5000</v>
      </c>
      <c r="M20" s="7" t="str">
        <f t="shared" si="3"/>
        <v/>
      </c>
      <c r="N20" s="9"/>
      <c r="O20" s="6" t="s">
        <v>25</v>
      </c>
      <c r="P20" s="5"/>
    </row>
    <row r="21" spans="1:16" ht="28.8" x14ac:dyDescent="0.3">
      <c r="A21" s="4">
        <v>15</v>
      </c>
      <c r="B21" s="5" t="s">
        <v>71</v>
      </c>
      <c r="C21" s="5" t="s">
        <v>72</v>
      </c>
      <c r="D21" s="5" t="s">
        <v>73</v>
      </c>
      <c r="E21" s="4" t="s">
        <v>23</v>
      </c>
      <c r="F21" s="4" t="s">
        <v>74</v>
      </c>
      <c r="G21" s="6">
        <v>1</v>
      </c>
      <c r="H21" s="7">
        <v>15000</v>
      </c>
      <c r="I21" s="7">
        <f t="shared" si="0"/>
        <v>15000</v>
      </c>
      <c r="J21" s="8"/>
      <c r="K21" s="7" t="str">
        <f t="shared" si="1"/>
        <v/>
      </c>
      <c r="L21" s="7">
        <f t="shared" si="2"/>
        <v>15000</v>
      </c>
      <c r="M21" s="7" t="str">
        <f t="shared" si="3"/>
        <v/>
      </c>
      <c r="N21" s="9"/>
      <c r="O21" s="6" t="s">
        <v>25</v>
      </c>
      <c r="P21" s="5"/>
    </row>
    <row r="22" spans="1:16" ht="28.8" x14ac:dyDescent="0.3">
      <c r="A22" s="4">
        <v>16</v>
      </c>
      <c r="B22" s="5" t="s">
        <v>75</v>
      </c>
      <c r="C22" s="5" t="s">
        <v>76</v>
      </c>
      <c r="D22" s="5" t="s">
        <v>77</v>
      </c>
      <c r="E22" s="4" t="s">
        <v>23</v>
      </c>
      <c r="F22" s="4" t="s">
        <v>56</v>
      </c>
      <c r="G22" s="6">
        <v>1</v>
      </c>
      <c r="H22" s="7">
        <v>20000</v>
      </c>
      <c r="I22" s="7">
        <f t="shared" si="0"/>
        <v>20000</v>
      </c>
      <c r="J22" s="8"/>
      <c r="K22" s="7" t="str">
        <f t="shared" si="1"/>
        <v/>
      </c>
      <c r="L22" s="7">
        <f t="shared" si="2"/>
        <v>20000</v>
      </c>
      <c r="M22" s="7" t="str">
        <f t="shared" si="3"/>
        <v/>
      </c>
      <c r="N22" s="9"/>
      <c r="O22" s="6" t="s">
        <v>25</v>
      </c>
      <c r="P22" s="5"/>
    </row>
    <row r="23" spans="1:16" ht="28.8" x14ac:dyDescent="0.3">
      <c r="A23" s="4">
        <v>17</v>
      </c>
      <c r="B23" s="5" t="s">
        <v>78</v>
      </c>
      <c r="C23" s="5" t="s">
        <v>79</v>
      </c>
      <c r="D23" s="5" t="s">
        <v>80</v>
      </c>
      <c r="E23" s="4" t="s">
        <v>23</v>
      </c>
      <c r="F23" s="4" t="s">
        <v>74</v>
      </c>
      <c r="G23" s="6">
        <v>1</v>
      </c>
      <c r="H23" s="7">
        <v>35000</v>
      </c>
      <c r="I23" s="7">
        <f t="shared" si="0"/>
        <v>35000</v>
      </c>
      <c r="J23" s="8"/>
      <c r="K23" s="7" t="str">
        <f t="shared" si="1"/>
        <v/>
      </c>
      <c r="L23" s="7">
        <f t="shared" si="2"/>
        <v>35000</v>
      </c>
      <c r="M23" s="7" t="str">
        <f t="shared" si="3"/>
        <v/>
      </c>
      <c r="N23" s="9"/>
      <c r="O23" s="6" t="s">
        <v>25</v>
      </c>
      <c r="P23" s="5" t="s">
        <v>81</v>
      </c>
    </row>
    <row r="24" spans="1:16" x14ac:dyDescent="0.3">
      <c r="A24" s="4">
        <v>18</v>
      </c>
      <c r="B24" s="5" t="s">
        <v>82</v>
      </c>
      <c r="C24" s="5" t="s">
        <v>83</v>
      </c>
      <c r="D24" s="5" t="s">
        <v>84</v>
      </c>
      <c r="E24" s="4" t="s">
        <v>23</v>
      </c>
      <c r="F24" s="4" t="s">
        <v>24</v>
      </c>
      <c r="G24" s="6">
        <v>1</v>
      </c>
      <c r="H24" s="7">
        <v>45000</v>
      </c>
      <c r="I24" s="7">
        <f t="shared" si="0"/>
        <v>45000</v>
      </c>
      <c r="J24" s="8"/>
      <c r="K24" s="7" t="str">
        <f t="shared" si="1"/>
        <v/>
      </c>
      <c r="L24" s="7">
        <f t="shared" si="2"/>
        <v>45000</v>
      </c>
      <c r="M24" s="7" t="str">
        <f t="shared" si="3"/>
        <v/>
      </c>
      <c r="N24" s="9"/>
      <c r="O24" s="6" t="s">
        <v>25</v>
      </c>
      <c r="P24" s="5"/>
    </row>
    <row r="25" spans="1:16" ht="28.8" x14ac:dyDescent="0.3">
      <c r="A25" s="4">
        <v>19</v>
      </c>
      <c r="B25" s="10" t="s">
        <v>85</v>
      </c>
      <c r="C25" s="5" t="s">
        <v>86</v>
      </c>
      <c r="D25" s="5" t="s">
        <v>87</v>
      </c>
      <c r="E25" s="4" t="s">
        <v>88</v>
      </c>
      <c r="F25" s="4" t="s">
        <v>24</v>
      </c>
      <c r="G25" s="6">
        <v>1</v>
      </c>
      <c r="H25" s="7">
        <v>45000</v>
      </c>
      <c r="I25" s="7">
        <f t="shared" si="0"/>
        <v>45000</v>
      </c>
      <c r="J25" s="8"/>
      <c r="K25" s="7" t="str">
        <f t="shared" si="1"/>
        <v/>
      </c>
      <c r="L25" s="7">
        <f t="shared" si="2"/>
        <v>45000</v>
      </c>
      <c r="M25" s="7" t="str">
        <f t="shared" si="3"/>
        <v/>
      </c>
      <c r="N25" s="9"/>
      <c r="O25" s="6" t="s">
        <v>25</v>
      </c>
      <c r="P25" s="5" t="s">
        <v>89</v>
      </c>
    </row>
    <row r="26" spans="1:16" x14ac:dyDescent="0.3">
      <c r="A26" s="4">
        <v>20</v>
      </c>
      <c r="B26" s="10" t="s">
        <v>90</v>
      </c>
      <c r="C26" s="5" t="s">
        <v>91</v>
      </c>
      <c r="D26" s="5" t="s">
        <v>92</v>
      </c>
      <c r="E26" s="4" t="s">
        <v>93</v>
      </c>
      <c r="F26" s="4" t="s">
        <v>24</v>
      </c>
      <c r="G26" s="6">
        <v>1</v>
      </c>
      <c r="H26" s="7">
        <v>200000</v>
      </c>
      <c r="I26" s="7">
        <f t="shared" si="0"/>
        <v>200000</v>
      </c>
      <c r="J26" s="8"/>
      <c r="K26" s="7" t="str">
        <f t="shared" si="1"/>
        <v/>
      </c>
      <c r="L26" s="7">
        <f t="shared" si="2"/>
        <v>200000</v>
      </c>
      <c r="M26" s="7" t="str">
        <f t="shared" si="3"/>
        <v/>
      </c>
      <c r="N26" s="9"/>
      <c r="O26" s="6" t="s">
        <v>25</v>
      </c>
      <c r="P26" s="5" t="s">
        <v>94</v>
      </c>
    </row>
    <row r="27" spans="1:16" x14ac:dyDescent="0.3">
      <c r="A27" s="4">
        <v>21</v>
      </c>
      <c r="B27" s="10" t="s">
        <v>95</v>
      </c>
      <c r="C27" s="5" t="s">
        <v>96</v>
      </c>
      <c r="D27" s="5" t="s">
        <v>97</v>
      </c>
      <c r="E27" s="4" t="s">
        <v>93</v>
      </c>
      <c r="F27" s="4" t="s">
        <v>24</v>
      </c>
      <c r="G27" s="6">
        <v>1</v>
      </c>
      <c r="H27" s="7">
        <v>120000</v>
      </c>
      <c r="I27" s="7">
        <f t="shared" si="0"/>
        <v>120000</v>
      </c>
      <c r="J27" s="8"/>
      <c r="K27" s="7" t="str">
        <f t="shared" si="1"/>
        <v/>
      </c>
      <c r="L27" s="7">
        <f t="shared" si="2"/>
        <v>120000</v>
      </c>
      <c r="M27" s="7" t="str">
        <f t="shared" si="3"/>
        <v/>
      </c>
      <c r="N27" s="9"/>
      <c r="O27" s="6" t="s">
        <v>25</v>
      </c>
      <c r="P27" s="5" t="s">
        <v>98</v>
      </c>
    </row>
    <row r="28" spans="1:16" x14ac:dyDescent="0.3">
      <c r="A28" s="4">
        <v>22</v>
      </c>
      <c r="B28" s="10" t="s">
        <v>99</v>
      </c>
      <c r="C28" s="5"/>
      <c r="D28" s="5" t="s">
        <v>100</v>
      </c>
      <c r="E28" s="4" t="s">
        <v>93</v>
      </c>
      <c r="F28" s="4" t="s">
        <v>24</v>
      </c>
      <c r="G28" s="6">
        <v>1</v>
      </c>
      <c r="H28" s="7">
        <v>15000</v>
      </c>
      <c r="I28" s="7">
        <f t="shared" si="0"/>
        <v>15000</v>
      </c>
      <c r="J28" s="8"/>
      <c r="K28" s="7" t="str">
        <f t="shared" si="1"/>
        <v/>
      </c>
      <c r="L28" s="7">
        <f t="shared" si="2"/>
        <v>15000</v>
      </c>
      <c r="M28" s="7" t="str">
        <f t="shared" si="3"/>
        <v/>
      </c>
      <c r="N28" s="9"/>
      <c r="O28" s="6" t="s">
        <v>25</v>
      </c>
      <c r="P28" s="5" t="s">
        <v>101</v>
      </c>
    </row>
    <row r="29" spans="1:16" x14ac:dyDescent="0.3">
      <c r="A29" s="11"/>
      <c r="B29" s="11" t="s">
        <v>102</v>
      </c>
      <c r="C29" s="11"/>
      <c r="D29" s="11"/>
      <c r="E29" s="11"/>
      <c r="F29" s="11"/>
      <c r="G29" s="11"/>
      <c r="H29" s="11"/>
      <c r="I29" s="12">
        <f>SUMIFS(I7:I28,E7:E28,"Inti")</f>
        <v>570000</v>
      </c>
      <c r="J29" s="11"/>
      <c r="K29" s="12">
        <f>SUMIFS(K7:K28,E7:E28,"Inti")</f>
        <v>0</v>
      </c>
      <c r="L29" s="12">
        <f>SUMIFS(L7:L28,E7:E28,"Inti")</f>
        <v>450000</v>
      </c>
      <c r="M29" s="11"/>
      <c r="N29" s="34"/>
      <c r="O29" s="11"/>
      <c r="P29" s="11"/>
    </row>
    <row r="31" spans="1:16" x14ac:dyDescent="0.3">
      <c r="A31" s="31" t="s">
        <v>103</v>
      </c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</row>
    <row r="32" spans="1:16" ht="28.8" x14ac:dyDescent="0.3">
      <c r="A32" s="4">
        <v>23</v>
      </c>
      <c r="B32" s="5" t="s">
        <v>104</v>
      </c>
      <c r="C32" s="5" t="s">
        <v>105</v>
      </c>
      <c r="D32" s="5" t="s">
        <v>106</v>
      </c>
      <c r="E32" s="4" t="s">
        <v>23</v>
      </c>
      <c r="F32" s="4" t="s">
        <v>24</v>
      </c>
      <c r="G32" s="6">
        <v>1</v>
      </c>
      <c r="H32" s="7">
        <v>220000</v>
      </c>
      <c r="I32" s="7">
        <f t="shared" ref="I32:I55" si="4">G32*H32</f>
        <v>220000</v>
      </c>
      <c r="J32" s="8"/>
      <c r="K32" s="7" t="str">
        <f t="shared" ref="K32:K55" si="5">IF(J32="","",G32*J32)</f>
        <v/>
      </c>
      <c r="L32" s="7">
        <f t="shared" ref="L32:L55" si="6">IF(J32="",I32,K32)</f>
        <v>220000</v>
      </c>
      <c r="M32" s="7" t="str">
        <f t="shared" ref="M32:M55" si="7">IF(J32="","",K32-I32)</f>
        <v/>
      </c>
      <c r="N32" s="9"/>
      <c r="O32" s="6" t="s">
        <v>25</v>
      </c>
      <c r="P32" s="5" t="s">
        <v>107</v>
      </c>
    </row>
    <row r="33" spans="1:16" x14ac:dyDescent="0.3">
      <c r="A33" s="4">
        <v>24</v>
      </c>
      <c r="B33" s="5" t="s">
        <v>108</v>
      </c>
      <c r="C33" s="5" t="s">
        <v>109</v>
      </c>
      <c r="D33" s="5" t="s">
        <v>110</v>
      </c>
      <c r="E33" s="4" t="s">
        <v>23</v>
      </c>
      <c r="F33" s="4" t="s">
        <v>24</v>
      </c>
      <c r="G33" s="6">
        <v>1</v>
      </c>
      <c r="H33" s="7">
        <v>15000</v>
      </c>
      <c r="I33" s="7">
        <f t="shared" si="4"/>
        <v>15000</v>
      </c>
      <c r="J33" s="8"/>
      <c r="K33" s="7" t="str">
        <f t="shared" si="5"/>
        <v/>
      </c>
      <c r="L33" s="7">
        <f t="shared" si="6"/>
        <v>15000</v>
      </c>
      <c r="M33" s="7" t="str">
        <f t="shared" si="7"/>
        <v/>
      </c>
      <c r="N33" s="9"/>
      <c r="O33" s="6" t="s">
        <v>25</v>
      </c>
      <c r="P33" s="5"/>
    </row>
    <row r="34" spans="1:16" ht="28.8" x14ac:dyDescent="0.3">
      <c r="A34" s="4">
        <v>25</v>
      </c>
      <c r="B34" s="5" t="s">
        <v>111</v>
      </c>
      <c r="C34" s="5" t="s">
        <v>112</v>
      </c>
      <c r="D34" s="5" t="s">
        <v>113</v>
      </c>
      <c r="E34" s="4" t="s">
        <v>23</v>
      </c>
      <c r="F34" s="4" t="s">
        <v>24</v>
      </c>
      <c r="G34" s="6">
        <v>1</v>
      </c>
      <c r="H34" s="7">
        <v>10000</v>
      </c>
      <c r="I34" s="7">
        <f t="shared" si="4"/>
        <v>10000</v>
      </c>
      <c r="J34" s="8"/>
      <c r="K34" s="7" t="str">
        <f t="shared" si="5"/>
        <v/>
      </c>
      <c r="L34" s="7">
        <f t="shared" si="6"/>
        <v>10000</v>
      </c>
      <c r="M34" s="7" t="str">
        <f t="shared" si="7"/>
        <v/>
      </c>
      <c r="N34" s="9"/>
      <c r="O34" s="6" t="s">
        <v>25</v>
      </c>
      <c r="P34" s="5"/>
    </row>
    <row r="35" spans="1:16" ht="28.8" x14ac:dyDescent="0.3">
      <c r="A35" s="4">
        <v>26</v>
      </c>
      <c r="B35" s="5" t="s">
        <v>114</v>
      </c>
      <c r="C35" s="5" t="s">
        <v>115</v>
      </c>
      <c r="D35" s="5" t="s">
        <v>116</v>
      </c>
      <c r="E35" s="4" t="s">
        <v>23</v>
      </c>
      <c r="F35" s="4" t="s">
        <v>117</v>
      </c>
      <c r="G35" s="6">
        <v>2</v>
      </c>
      <c r="H35" s="7">
        <v>75000</v>
      </c>
      <c r="I35" s="7">
        <f t="shared" si="4"/>
        <v>150000</v>
      </c>
      <c r="J35" s="8"/>
      <c r="K35" s="7" t="str">
        <f t="shared" si="5"/>
        <v/>
      </c>
      <c r="L35" s="7">
        <f t="shared" si="6"/>
        <v>150000</v>
      </c>
      <c r="M35" s="7" t="str">
        <f t="shared" si="7"/>
        <v/>
      </c>
      <c r="N35" s="9"/>
      <c r="O35" s="6" t="s">
        <v>25</v>
      </c>
      <c r="P35" s="5" t="s">
        <v>118</v>
      </c>
    </row>
    <row r="36" spans="1:16" ht="28.8" x14ac:dyDescent="0.3">
      <c r="A36" s="4">
        <v>27</v>
      </c>
      <c r="B36" s="5" t="s">
        <v>119</v>
      </c>
      <c r="C36" s="5" t="s">
        <v>120</v>
      </c>
      <c r="D36" s="5" t="s">
        <v>121</v>
      </c>
      <c r="E36" s="4" t="s">
        <v>23</v>
      </c>
      <c r="F36" s="4" t="s">
        <v>24</v>
      </c>
      <c r="G36" s="6">
        <v>3</v>
      </c>
      <c r="H36" s="7">
        <v>50000</v>
      </c>
      <c r="I36" s="7">
        <f t="shared" si="4"/>
        <v>150000</v>
      </c>
      <c r="J36" s="8"/>
      <c r="K36" s="7" t="str">
        <f t="shared" si="5"/>
        <v/>
      </c>
      <c r="L36" s="7">
        <f t="shared" si="6"/>
        <v>150000</v>
      </c>
      <c r="M36" s="7" t="str">
        <f t="shared" si="7"/>
        <v/>
      </c>
      <c r="N36" s="9"/>
      <c r="O36" s="6" t="s">
        <v>25</v>
      </c>
      <c r="P36" s="5" t="s">
        <v>122</v>
      </c>
    </row>
    <row r="37" spans="1:16" ht="28.8" x14ac:dyDescent="0.3">
      <c r="A37" s="4">
        <v>28</v>
      </c>
      <c r="B37" s="5" t="s">
        <v>123</v>
      </c>
      <c r="C37" s="5" t="s">
        <v>124</v>
      </c>
      <c r="D37" s="5" t="s">
        <v>125</v>
      </c>
      <c r="E37" s="4" t="s">
        <v>23</v>
      </c>
      <c r="F37" s="4" t="s">
        <v>24</v>
      </c>
      <c r="G37" s="6">
        <v>1</v>
      </c>
      <c r="H37" s="7">
        <v>50000</v>
      </c>
      <c r="I37" s="7">
        <f t="shared" si="4"/>
        <v>50000</v>
      </c>
      <c r="J37" s="8"/>
      <c r="K37" s="7" t="str">
        <f t="shared" si="5"/>
        <v/>
      </c>
      <c r="L37" s="7">
        <f t="shared" si="6"/>
        <v>50000</v>
      </c>
      <c r="M37" s="7" t="str">
        <f t="shared" si="7"/>
        <v/>
      </c>
      <c r="N37" s="9"/>
      <c r="O37" s="6" t="s">
        <v>25</v>
      </c>
      <c r="P37" s="5" t="s">
        <v>126</v>
      </c>
    </row>
    <row r="38" spans="1:16" ht="28.8" x14ac:dyDescent="0.3">
      <c r="A38" s="4">
        <v>29</v>
      </c>
      <c r="B38" s="5" t="s">
        <v>127</v>
      </c>
      <c r="C38" s="5"/>
      <c r="D38" s="5" t="s">
        <v>128</v>
      </c>
      <c r="E38" s="4" t="s">
        <v>23</v>
      </c>
      <c r="F38" s="4" t="s">
        <v>24</v>
      </c>
      <c r="G38" s="6">
        <v>1</v>
      </c>
      <c r="H38" s="7">
        <v>15000</v>
      </c>
      <c r="I38" s="7">
        <f t="shared" si="4"/>
        <v>15000</v>
      </c>
      <c r="J38" s="8"/>
      <c r="K38" s="7" t="str">
        <f t="shared" si="5"/>
        <v/>
      </c>
      <c r="L38" s="7">
        <f t="shared" si="6"/>
        <v>15000</v>
      </c>
      <c r="M38" s="7" t="str">
        <f t="shared" si="7"/>
        <v/>
      </c>
      <c r="N38" s="9"/>
      <c r="O38" s="6" t="s">
        <v>25</v>
      </c>
      <c r="P38" s="5"/>
    </row>
    <row r="39" spans="1:16" x14ac:dyDescent="0.3">
      <c r="A39" s="4">
        <v>30</v>
      </c>
      <c r="B39" s="5" t="s">
        <v>129</v>
      </c>
      <c r="C39" s="5" t="s">
        <v>130</v>
      </c>
      <c r="D39" s="5" t="s">
        <v>131</v>
      </c>
      <c r="E39" s="4" t="s">
        <v>23</v>
      </c>
      <c r="F39" s="4" t="s">
        <v>117</v>
      </c>
      <c r="G39" s="6">
        <v>1</v>
      </c>
      <c r="H39" s="7">
        <v>45000</v>
      </c>
      <c r="I39" s="7">
        <f t="shared" si="4"/>
        <v>45000</v>
      </c>
      <c r="J39" s="8"/>
      <c r="K39" s="7" t="str">
        <f t="shared" si="5"/>
        <v/>
      </c>
      <c r="L39" s="7">
        <f t="shared" si="6"/>
        <v>45000</v>
      </c>
      <c r="M39" s="7" t="str">
        <f t="shared" si="7"/>
        <v/>
      </c>
      <c r="N39" s="9"/>
      <c r="O39" s="6" t="s">
        <v>25</v>
      </c>
      <c r="P39" s="5"/>
    </row>
    <row r="40" spans="1:16" x14ac:dyDescent="0.3">
      <c r="A40" s="4">
        <v>31</v>
      </c>
      <c r="B40" s="5" t="s">
        <v>132</v>
      </c>
      <c r="C40" s="5" t="s">
        <v>133</v>
      </c>
      <c r="D40" s="5" t="s">
        <v>134</v>
      </c>
      <c r="E40" s="4" t="s">
        <v>23</v>
      </c>
      <c r="F40" s="4" t="s">
        <v>74</v>
      </c>
      <c r="G40" s="6">
        <v>1</v>
      </c>
      <c r="H40" s="7">
        <v>50000</v>
      </c>
      <c r="I40" s="7">
        <f t="shared" si="4"/>
        <v>50000</v>
      </c>
      <c r="J40" s="8"/>
      <c r="K40" s="7" t="str">
        <f t="shared" si="5"/>
        <v/>
      </c>
      <c r="L40" s="7">
        <f t="shared" si="6"/>
        <v>50000</v>
      </c>
      <c r="M40" s="7" t="str">
        <f t="shared" si="7"/>
        <v/>
      </c>
      <c r="N40" s="9"/>
      <c r="O40" s="6" t="s">
        <v>25</v>
      </c>
      <c r="P40" s="5"/>
    </row>
    <row r="41" spans="1:16" x14ac:dyDescent="0.3">
      <c r="A41" s="4">
        <v>32</v>
      </c>
      <c r="B41" s="5" t="s">
        <v>135</v>
      </c>
      <c r="C41" s="5" t="s">
        <v>136</v>
      </c>
      <c r="D41" s="5" t="s">
        <v>137</v>
      </c>
      <c r="E41" s="4" t="s">
        <v>23</v>
      </c>
      <c r="F41" s="4" t="s">
        <v>24</v>
      </c>
      <c r="G41" s="6">
        <v>2</v>
      </c>
      <c r="H41" s="7">
        <v>8000</v>
      </c>
      <c r="I41" s="7">
        <f t="shared" si="4"/>
        <v>16000</v>
      </c>
      <c r="J41" s="8"/>
      <c r="K41" s="7" t="str">
        <f t="shared" si="5"/>
        <v/>
      </c>
      <c r="L41" s="7">
        <f t="shared" si="6"/>
        <v>16000</v>
      </c>
      <c r="M41" s="7" t="str">
        <f t="shared" si="7"/>
        <v/>
      </c>
      <c r="N41" s="9"/>
      <c r="O41" s="6" t="s">
        <v>25</v>
      </c>
      <c r="P41" s="5"/>
    </row>
    <row r="42" spans="1:16" x14ac:dyDescent="0.3">
      <c r="A42" s="4">
        <v>33</v>
      </c>
      <c r="B42" s="5" t="s">
        <v>138</v>
      </c>
      <c r="C42" s="5" t="s">
        <v>139</v>
      </c>
      <c r="D42" s="5" t="s">
        <v>140</v>
      </c>
      <c r="E42" s="4" t="s">
        <v>23</v>
      </c>
      <c r="F42" s="4" t="s">
        <v>24</v>
      </c>
      <c r="G42" s="6">
        <v>4</v>
      </c>
      <c r="H42" s="7">
        <v>12000</v>
      </c>
      <c r="I42" s="7">
        <f t="shared" si="4"/>
        <v>48000</v>
      </c>
      <c r="J42" s="8"/>
      <c r="K42" s="7" t="str">
        <f t="shared" si="5"/>
        <v/>
      </c>
      <c r="L42" s="7">
        <f t="shared" si="6"/>
        <v>48000</v>
      </c>
      <c r="M42" s="7" t="str">
        <f t="shared" si="7"/>
        <v/>
      </c>
      <c r="N42" s="9"/>
      <c r="O42" s="6" t="s">
        <v>25</v>
      </c>
      <c r="P42" s="5"/>
    </row>
    <row r="43" spans="1:16" x14ac:dyDescent="0.3">
      <c r="A43" s="4">
        <v>34</v>
      </c>
      <c r="B43" s="5" t="s">
        <v>141</v>
      </c>
      <c r="C43" s="5" t="s">
        <v>142</v>
      </c>
      <c r="D43" s="5" t="s">
        <v>143</v>
      </c>
      <c r="E43" s="4" t="s">
        <v>23</v>
      </c>
      <c r="F43" s="4" t="s">
        <v>24</v>
      </c>
      <c r="G43" s="6">
        <v>2</v>
      </c>
      <c r="H43" s="7">
        <v>20000</v>
      </c>
      <c r="I43" s="7">
        <f t="shared" si="4"/>
        <v>40000</v>
      </c>
      <c r="J43" s="8"/>
      <c r="K43" s="7" t="str">
        <f t="shared" si="5"/>
        <v/>
      </c>
      <c r="L43" s="7">
        <f t="shared" si="6"/>
        <v>40000</v>
      </c>
      <c r="M43" s="7" t="str">
        <f t="shared" si="7"/>
        <v/>
      </c>
      <c r="N43" s="9"/>
      <c r="O43" s="6" t="s">
        <v>25</v>
      </c>
      <c r="P43" s="5" t="s">
        <v>144</v>
      </c>
    </row>
    <row r="44" spans="1:16" ht="28.8" x14ac:dyDescent="0.3">
      <c r="A44" s="4">
        <v>35</v>
      </c>
      <c r="B44" s="5" t="s">
        <v>145</v>
      </c>
      <c r="C44" s="5" t="s">
        <v>146</v>
      </c>
      <c r="D44" s="5" t="s">
        <v>147</v>
      </c>
      <c r="E44" s="4" t="s">
        <v>23</v>
      </c>
      <c r="F44" s="4" t="s">
        <v>24</v>
      </c>
      <c r="G44" s="6">
        <v>1</v>
      </c>
      <c r="H44" s="7">
        <v>8000</v>
      </c>
      <c r="I44" s="7">
        <f t="shared" si="4"/>
        <v>8000</v>
      </c>
      <c r="J44" s="8"/>
      <c r="K44" s="7" t="str">
        <f t="shared" si="5"/>
        <v/>
      </c>
      <c r="L44" s="7">
        <f t="shared" si="6"/>
        <v>8000</v>
      </c>
      <c r="M44" s="7" t="str">
        <f t="shared" si="7"/>
        <v/>
      </c>
      <c r="N44" s="9"/>
      <c r="O44" s="6" t="s">
        <v>25</v>
      </c>
      <c r="P44" s="5"/>
    </row>
    <row r="45" spans="1:16" ht="28.8" x14ac:dyDescent="0.3">
      <c r="A45" s="4">
        <v>36</v>
      </c>
      <c r="B45" s="5" t="s">
        <v>148</v>
      </c>
      <c r="C45" s="5"/>
      <c r="D45" s="5" t="s">
        <v>149</v>
      </c>
      <c r="E45" s="4" t="s">
        <v>23</v>
      </c>
      <c r="F45" s="4" t="s">
        <v>24</v>
      </c>
      <c r="G45" s="6">
        <v>1</v>
      </c>
      <c r="H45" s="7">
        <v>15000</v>
      </c>
      <c r="I45" s="7">
        <f t="shared" si="4"/>
        <v>15000</v>
      </c>
      <c r="J45" s="8"/>
      <c r="K45" s="7" t="str">
        <f t="shared" si="5"/>
        <v/>
      </c>
      <c r="L45" s="7">
        <f t="shared" si="6"/>
        <v>15000</v>
      </c>
      <c r="M45" s="7" t="str">
        <f t="shared" si="7"/>
        <v/>
      </c>
      <c r="N45" s="9"/>
      <c r="O45" s="6" t="s">
        <v>25</v>
      </c>
      <c r="P45" s="5"/>
    </row>
    <row r="46" spans="1:16" ht="28.8" x14ac:dyDescent="0.3">
      <c r="A46" s="4">
        <v>37</v>
      </c>
      <c r="B46" s="5" t="s">
        <v>150</v>
      </c>
      <c r="C46" s="5" t="s">
        <v>151</v>
      </c>
      <c r="D46" s="5" t="s">
        <v>152</v>
      </c>
      <c r="E46" s="4" t="s">
        <v>23</v>
      </c>
      <c r="F46" s="4" t="s">
        <v>24</v>
      </c>
      <c r="G46" s="6">
        <v>5</v>
      </c>
      <c r="H46" s="7">
        <v>15000</v>
      </c>
      <c r="I46" s="7">
        <f t="shared" si="4"/>
        <v>75000</v>
      </c>
      <c r="J46" s="8"/>
      <c r="K46" s="7" t="str">
        <f t="shared" si="5"/>
        <v/>
      </c>
      <c r="L46" s="7">
        <f t="shared" si="6"/>
        <v>75000</v>
      </c>
      <c r="M46" s="7" t="str">
        <f t="shared" si="7"/>
        <v/>
      </c>
      <c r="N46" s="9"/>
      <c r="O46" s="6" t="s">
        <v>25</v>
      </c>
      <c r="P46" s="5" t="s">
        <v>153</v>
      </c>
    </row>
    <row r="47" spans="1:16" x14ac:dyDescent="0.3">
      <c r="A47" s="4">
        <v>38</v>
      </c>
      <c r="B47" s="5" t="s">
        <v>154</v>
      </c>
      <c r="C47" s="5" t="s">
        <v>155</v>
      </c>
      <c r="D47" s="5" t="s">
        <v>156</v>
      </c>
      <c r="E47" s="4" t="s">
        <v>23</v>
      </c>
      <c r="F47" s="4" t="s">
        <v>157</v>
      </c>
      <c r="G47" s="6">
        <v>6</v>
      </c>
      <c r="H47" s="7">
        <v>5000</v>
      </c>
      <c r="I47" s="7">
        <f t="shared" si="4"/>
        <v>30000</v>
      </c>
      <c r="J47" s="8"/>
      <c r="K47" s="7" t="str">
        <f t="shared" si="5"/>
        <v/>
      </c>
      <c r="L47" s="7">
        <f t="shared" si="6"/>
        <v>30000</v>
      </c>
      <c r="M47" s="7" t="str">
        <f t="shared" si="7"/>
        <v/>
      </c>
      <c r="N47" s="9"/>
      <c r="O47" s="6" t="s">
        <v>25</v>
      </c>
      <c r="P47" s="5"/>
    </row>
    <row r="48" spans="1:16" ht="28.8" x14ac:dyDescent="0.3">
      <c r="A48" s="4">
        <v>39</v>
      </c>
      <c r="B48" s="5" t="s">
        <v>158</v>
      </c>
      <c r="C48" s="5" t="s">
        <v>159</v>
      </c>
      <c r="D48" s="5" t="s">
        <v>160</v>
      </c>
      <c r="E48" s="4" t="s">
        <v>23</v>
      </c>
      <c r="F48" s="4" t="s">
        <v>24</v>
      </c>
      <c r="G48" s="6">
        <v>4</v>
      </c>
      <c r="H48" s="7">
        <v>8000</v>
      </c>
      <c r="I48" s="7">
        <f t="shared" si="4"/>
        <v>32000</v>
      </c>
      <c r="J48" s="8"/>
      <c r="K48" s="7" t="str">
        <f t="shared" si="5"/>
        <v/>
      </c>
      <c r="L48" s="7">
        <f t="shared" si="6"/>
        <v>32000</v>
      </c>
      <c r="M48" s="7" t="str">
        <f t="shared" si="7"/>
        <v/>
      </c>
      <c r="N48" s="9"/>
      <c r="O48" s="6" t="s">
        <v>25</v>
      </c>
      <c r="P48" s="5" t="s">
        <v>161</v>
      </c>
    </row>
    <row r="49" spans="1:16" x14ac:dyDescent="0.3">
      <c r="A49" s="4">
        <v>40</v>
      </c>
      <c r="B49" s="5" t="s">
        <v>162</v>
      </c>
      <c r="C49" s="5" t="s">
        <v>163</v>
      </c>
      <c r="D49" s="5" t="s">
        <v>164</v>
      </c>
      <c r="E49" s="4" t="s">
        <v>23</v>
      </c>
      <c r="F49" s="4" t="s">
        <v>24</v>
      </c>
      <c r="G49" s="6">
        <v>5</v>
      </c>
      <c r="H49" s="7">
        <v>3000</v>
      </c>
      <c r="I49" s="7">
        <f t="shared" si="4"/>
        <v>15000</v>
      </c>
      <c r="J49" s="8"/>
      <c r="K49" s="7" t="str">
        <f t="shared" si="5"/>
        <v/>
      </c>
      <c r="L49" s="7">
        <f t="shared" si="6"/>
        <v>15000</v>
      </c>
      <c r="M49" s="7" t="str">
        <f t="shared" si="7"/>
        <v/>
      </c>
      <c r="N49" s="9"/>
      <c r="O49" s="6" t="s">
        <v>25</v>
      </c>
      <c r="P49" s="5"/>
    </row>
    <row r="50" spans="1:16" x14ac:dyDescent="0.3">
      <c r="A50" s="4">
        <v>41</v>
      </c>
      <c r="B50" s="5" t="s">
        <v>165</v>
      </c>
      <c r="C50" s="5" t="s">
        <v>166</v>
      </c>
      <c r="D50" s="5" t="s">
        <v>167</v>
      </c>
      <c r="E50" s="4" t="s">
        <v>23</v>
      </c>
      <c r="F50" s="4" t="s">
        <v>24</v>
      </c>
      <c r="G50" s="6">
        <v>5</v>
      </c>
      <c r="H50" s="7">
        <v>3000</v>
      </c>
      <c r="I50" s="7">
        <f t="shared" si="4"/>
        <v>15000</v>
      </c>
      <c r="J50" s="8"/>
      <c r="K50" s="7" t="str">
        <f t="shared" si="5"/>
        <v/>
      </c>
      <c r="L50" s="7">
        <f t="shared" si="6"/>
        <v>15000</v>
      </c>
      <c r="M50" s="7" t="str">
        <f t="shared" si="7"/>
        <v/>
      </c>
      <c r="N50" s="9"/>
      <c r="O50" s="6" t="s">
        <v>25</v>
      </c>
      <c r="P50" s="5"/>
    </row>
    <row r="51" spans="1:16" ht="28.8" x14ac:dyDescent="0.3">
      <c r="A51" s="4">
        <v>42</v>
      </c>
      <c r="B51" s="5" t="s">
        <v>168</v>
      </c>
      <c r="C51" s="5" t="s">
        <v>169</v>
      </c>
      <c r="D51" s="5" t="s">
        <v>170</v>
      </c>
      <c r="E51" s="4" t="s">
        <v>23</v>
      </c>
      <c r="F51" s="4" t="s">
        <v>56</v>
      </c>
      <c r="G51" s="6">
        <v>1</v>
      </c>
      <c r="H51" s="7">
        <v>25000</v>
      </c>
      <c r="I51" s="7">
        <f t="shared" si="4"/>
        <v>25000</v>
      </c>
      <c r="J51" s="8"/>
      <c r="K51" s="7" t="str">
        <f t="shared" si="5"/>
        <v/>
      </c>
      <c r="L51" s="7">
        <f t="shared" si="6"/>
        <v>25000</v>
      </c>
      <c r="M51" s="7" t="str">
        <f t="shared" si="7"/>
        <v/>
      </c>
      <c r="N51" s="9"/>
      <c r="O51" s="6" t="s">
        <v>25</v>
      </c>
      <c r="P51" s="5"/>
    </row>
    <row r="52" spans="1:16" x14ac:dyDescent="0.3">
      <c r="A52" s="4">
        <v>43</v>
      </c>
      <c r="B52" s="10" t="s">
        <v>171</v>
      </c>
      <c r="C52" s="5" t="s">
        <v>172</v>
      </c>
      <c r="D52" s="5" t="s">
        <v>173</v>
      </c>
      <c r="E52" s="4" t="s">
        <v>88</v>
      </c>
      <c r="F52" s="4" t="s">
        <v>117</v>
      </c>
      <c r="G52" s="6">
        <v>1</v>
      </c>
      <c r="H52" s="7">
        <v>60000</v>
      </c>
      <c r="I52" s="7">
        <f t="shared" si="4"/>
        <v>60000</v>
      </c>
      <c r="J52" s="8"/>
      <c r="K52" s="7" t="str">
        <f t="shared" si="5"/>
        <v/>
      </c>
      <c r="L52" s="7">
        <f t="shared" si="6"/>
        <v>60000</v>
      </c>
      <c r="M52" s="7" t="str">
        <f t="shared" si="7"/>
        <v/>
      </c>
      <c r="N52" s="9"/>
      <c r="O52" s="6" t="s">
        <v>25</v>
      </c>
      <c r="P52" s="5"/>
    </row>
    <row r="53" spans="1:16" x14ac:dyDescent="0.3">
      <c r="A53" s="4">
        <v>44</v>
      </c>
      <c r="B53" s="10" t="s">
        <v>174</v>
      </c>
      <c r="C53" s="5" t="s">
        <v>175</v>
      </c>
      <c r="D53" s="5" t="s">
        <v>176</v>
      </c>
      <c r="E53" s="4" t="s">
        <v>88</v>
      </c>
      <c r="F53" s="4" t="s">
        <v>24</v>
      </c>
      <c r="G53" s="6">
        <v>1</v>
      </c>
      <c r="H53" s="7">
        <v>30000</v>
      </c>
      <c r="I53" s="7">
        <f t="shared" si="4"/>
        <v>30000</v>
      </c>
      <c r="J53" s="8"/>
      <c r="K53" s="7" t="str">
        <f t="shared" si="5"/>
        <v/>
      </c>
      <c r="L53" s="7">
        <f t="shared" si="6"/>
        <v>30000</v>
      </c>
      <c r="M53" s="7" t="str">
        <f t="shared" si="7"/>
        <v/>
      </c>
      <c r="N53" s="9"/>
      <c r="O53" s="6" t="s">
        <v>25</v>
      </c>
      <c r="P53" s="5"/>
    </row>
    <row r="54" spans="1:16" x14ac:dyDescent="0.3">
      <c r="A54" s="4">
        <v>45</v>
      </c>
      <c r="B54" s="10" t="s">
        <v>177</v>
      </c>
      <c r="C54" s="5" t="s">
        <v>178</v>
      </c>
      <c r="D54" s="5" t="s">
        <v>179</v>
      </c>
      <c r="E54" s="4" t="s">
        <v>88</v>
      </c>
      <c r="F54" s="4" t="s">
        <v>24</v>
      </c>
      <c r="G54" s="6">
        <v>1</v>
      </c>
      <c r="H54" s="7">
        <v>15000</v>
      </c>
      <c r="I54" s="7">
        <f t="shared" si="4"/>
        <v>15000</v>
      </c>
      <c r="J54" s="8"/>
      <c r="K54" s="7" t="str">
        <f t="shared" si="5"/>
        <v/>
      </c>
      <c r="L54" s="7">
        <f t="shared" si="6"/>
        <v>15000</v>
      </c>
      <c r="M54" s="7" t="str">
        <f t="shared" si="7"/>
        <v/>
      </c>
      <c r="N54" s="9"/>
      <c r="O54" s="6" t="s">
        <v>25</v>
      </c>
      <c r="P54" s="5" t="s">
        <v>180</v>
      </c>
    </row>
    <row r="55" spans="1:16" ht="28.8" x14ac:dyDescent="0.3">
      <c r="A55" s="4">
        <v>46</v>
      </c>
      <c r="B55" s="10" t="s">
        <v>181</v>
      </c>
      <c r="C55" s="5" t="s">
        <v>182</v>
      </c>
      <c r="D55" s="5" t="s">
        <v>183</v>
      </c>
      <c r="E55" s="4" t="s">
        <v>93</v>
      </c>
      <c r="F55" s="4" t="s">
        <v>24</v>
      </c>
      <c r="G55" s="6">
        <v>1</v>
      </c>
      <c r="H55" s="7">
        <v>10000</v>
      </c>
      <c r="I55" s="7">
        <f t="shared" si="4"/>
        <v>10000</v>
      </c>
      <c r="J55" s="8"/>
      <c r="K55" s="7" t="str">
        <f t="shared" si="5"/>
        <v/>
      </c>
      <c r="L55" s="7">
        <f t="shared" si="6"/>
        <v>10000</v>
      </c>
      <c r="M55" s="7" t="str">
        <f t="shared" si="7"/>
        <v/>
      </c>
      <c r="N55" s="9"/>
      <c r="O55" s="6" t="s">
        <v>25</v>
      </c>
      <c r="P55" s="5"/>
    </row>
    <row r="56" spans="1:16" x14ac:dyDescent="0.3">
      <c r="A56" s="11"/>
      <c r="B56" s="11" t="s">
        <v>184</v>
      </c>
      <c r="C56" s="11"/>
      <c r="D56" s="11"/>
      <c r="E56" s="11"/>
      <c r="F56" s="11"/>
      <c r="G56" s="11"/>
      <c r="H56" s="11"/>
      <c r="I56" s="12">
        <f>SUMIFS(I32:I55,E32:E55,"Inti")</f>
        <v>1024000</v>
      </c>
      <c r="J56" s="11"/>
      <c r="K56" s="12">
        <f>SUMIFS(K32:K55,E32:E55,"Inti")</f>
        <v>0</v>
      </c>
      <c r="L56" s="12">
        <f>SUMIFS(L32:L55,E32:E55,"Inti")</f>
        <v>1024000</v>
      </c>
      <c r="M56" s="11"/>
      <c r="N56" s="34"/>
      <c r="O56" s="11"/>
      <c r="P56" s="11"/>
    </row>
    <row r="58" spans="1:16" x14ac:dyDescent="0.3">
      <c r="A58" s="31" t="s">
        <v>185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</row>
    <row r="59" spans="1:16" ht="28.8" x14ac:dyDescent="0.3">
      <c r="A59" s="4">
        <v>47</v>
      </c>
      <c r="B59" s="5" t="s">
        <v>186</v>
      </c>
      <c r="C59" s="5" t="s">
        <v>187</v>
      </c>
      <c r="D59" s="5" t="s">
        <v>188</v>
      </c>
      <c r="E59" s="4" t="s">
        <v>23</v>
      </c>
      <c r="F59" s="4" t="s">
        <v>24</v>
      </c>
      <c r="G59" s="6">
        <v>1</v>
      </c>
      <c r="H59" s="7">
        <v>90000</v>
      </c>
      <c r="I59" s="7">
        <f t="shared" ref="I59:I66" si="8">G59*H59</f>
        <v>90000</v>
      </c>
      <c r="J59" s="8"/>
      <c r="K59" s="7" t="str">
        <f t="shared" ref="K59:K66" si="9">IF(J59="","",G59*J59)</f>
        <v/>
      </c>
      <c r="L59" s="7">
        <f t="shared" ref="L59:L66" si="10">IF(J59="",I59,K59)</f>
        <v>90000</v>
      </c>
      <c r="M59" s="7" t="str">
        <f t="shared" ref="M59:M66" si="11">IF(J59="","",K59-I59)</f>
        <v/>
      </c>
      <c r="N59" s="9"/>
      <c r="O59" s="6" t="s">
        <v>25</v>
      </c>
      <c r="P59" s="5"/>
    </row>
    <row r="60" spans="1:16" ht="28.8" x14ac:dyDescent="0.3">
      <c r="A60" s="4">
        <v>48</v>
      </c>
      <c r="B60" s="5" t="s">
        <v>189</v>
      </c>
      <c r="C60" s="5" t="s">
        <v>190</v>
      </c>
      <c r="D60" s="5" t="s">
        <v>191</v>
      </c>
      <c r="E60" s="4" t="s">
        <v>23</v>
      </c>
      <c r="F60" s="4" t="s">
        <v>157</v>
      </c>
      <c r="G60" s="6">
        <v>3</v>
      </c>
      <c r="H60" s="7">
        <v>35000</v>
      </c>
      <c r="I60" s="7">
        <f t="shared" si="8"/>
        <v>105000</v>
      </c>
      <c r="J60" s="8"/>
      <c r="K60" s="7" t="str">
        <f t="shared" si="9"/>
        <v/>
      </c>
      <c r="L60" s="7">
        <f t="shared" si="10"/>
        <v>105000</v>
      </c>
      <c r="M60" s="7" t="str">
        <f t="shared" si="11"/>
        <v/>
      </c>
      <c r="N60" s="9"/>
      <c r="O60" s="6" t="s">
        <v>25</v>
      </c>
      <c r="P60" s="5"/>
    </row>
    <row r="61" spans="1:16" x14ac:dyDescent="0.3">
      <c r="A61" s="4">
        <v>49</v>
      </c>
      <c r="B61" s="5" t="s">
        <v>192</v>
      </c>
      <c r="C61" s="5" t="s">
        <v>193</v>
      </c>
      <c r="D61" s="5" t="s">
        <v>194</v>
      </c>
      <c r="E61" s="4" t="s">
        <v>23</v>
      </c>
      <c r="F61" s="4" t="s">
        <v>24</v>
      </c>
      <c r="G61" s="6">
        <v>1</v>
      </c>
      <c r="H61" s="7">
        <v>50000</v>
      </c>
      <c r="I61" s="7">
        <f t="shared" si="8"/>
        <v>50000</v>
      </c>
      <c r="J61" s="8"/>
      <c r="K61" s="7" t="str">
        <f t="shared" si="9"/>
        <v/>
      </c>
      <c r="L61" s="7">
        <f t="shared" si="10"/>
        <v>50000</v>
      </c>
      <c r="M61" s="7" t="str">
        <f t="shared" si="11"/>
        <v/>
      </c>
      <c r="N61" s="9"/>
      <c r="O61" s="6" t="s">
        <v>25</v>
      </c>
      <c r="P61" s="5"/>
    </row>
    <row r="62" spans="1:16" ht="28.8" x14ac:dyDescent="0.3">
      <c r="A62" s="4">
        <v>50</v>
      </c>
      <c r="B62" s="5" t="s">
        <v>195</v>
      </c>
      <c r="C62" s="5" t="s">
        <v>196</v>
      </c>
      <c r="D62" s="5" t="s">
        <v>197</v>
      </c>
      <c r="E62" s="4" t="s">
        <v>23</v>
      </c>
      <c r="F62" s="4" t="s">
        <v>198</v>
      </c>
      <c r="G62" s="6">
        <v>1</v>
      </c>
      <c r="H62" s="7">
        <v>30000</v>
      </c>
      <c r="I62" s="7">
        <f t="shared" si="8"/>
        <v>30000</v>
      </c>
      <c r="J62" s="8"/>
      <c r="K62" s="7" t="str">
        <f t="shared" si="9"/>
        <v/>
      </c>
      <c r="L62" s="7">
        <f t="shared" si="10"/>
        <v>30000</v>
      </c>
      <c r="M62" s="7" t="str">
        <f t="shared" si="11"/>
        <v/>
      </c>
      <c r="N62" s="9"/>
      <c r="O62" s="6" t="s">
        <v>25</v>
      </c>
      <c r="P62" s="5"/>
    </row>
    <row r="63" spans="1:16" x14ac:dyDescent="0.3">
      <c r="A63" s="4">
        <v>51</v>
      </c>
      <c r="B63" s="5" t="s">
        <v>199</v>
      </c>
      <c r="C63" s="5" t="s">
        <v>200</v>
      </c>
      <c r="D63" s="5" t="s">
        <v>201</v>
      </c>
      <c r="E63" s="4" t="s">
        <v>23</v>
      </c>
      <c r="F63" s="4" t="s">
        <v>24</v>
      </c>
      <c r="G63" s="6">
        <v>10</v>
      </c>
      <c r="H63" s="7">
        <v>2500</v>
      </c>
      <c r="I63" s="7">
        <f t="shared" si="8"/>
        <v>25000</v>
      </c>
      <c r="J63" s="8"/>
      <c r="K63" s="7" t="str">
        <f t="shared" si="9"/>
        <v/>
      </c>
      <c r="L63" s="7">
        <f t="shared" si="10"/>
        <v>25000</v>
      </c>
      <c r="M63" s="7" t="str">
        <f t="shared" si="11"/>
        <v/>
      </c>
      <c r="N63" s="9"/>
      <c r="O63" s="6" t="s">
        <v>25</v>
      </c>
      <c r="P63" s="5"/>
    </row>
    <row r="64" spans="1:16" x14ac:dyDescent="0.3">
      <c r="A64" s="4">
        <v>52</v>
      </c>
      <c r="B64" s="5" t="s">
        <v>202</v>
      </c>
      <c r="C64" s="5" t="s">
        <v>203</v>
      </c>
      <c r="D64" s="5" t="s">
        <v>204</v>
      </c>
      <c r="E64" s="4" t="s">
        <v>23</v>
      </c>
      <c r="F64" s="4" t="s">
        <v>24</v>
      </c>
      <c r="G64" s="6">
        <v>10</v>
      </c>
      <c r="H64" s="7">
        <v>1500</v>
      </c>
      <c r="I64" s="7">
        <f t="shared" si="8"/>
        <v>15000</v>
      </c>
      <c r="J64" s="8"/>
      <c r="K64" s="7" t="str">
        <f t="shared" si="9"/>
        <v/>
      </c>
      <c r="L64" s="7">
        <f t="shared" si="10"/>
        <v>15000</v>
      </c>
      <c r="M64" s="7" t="str">
        <f t="shared" si="11"/>
        <v/>
      </c>
      <c r="N64" s="9"/>
      <c r="O64" s="6" t="s">
        <v>25</v>
      </c>
      <c r="P64" s="5"/>
    </row>
    <row r="65" spans="1:16" x14ac:dyDescent="0.3">
      <c r="A65" s="4">
        <v>53</v>
      </c>
      <c r="B65" s="5" t="s">
        <v>205</v>
      </c>
      <c r="C65" s="5" t="s">
        <v>206</v>
      </c>
      <c r="D65" s="5" t="s">
        <v>207</v>
      </c>
      <c r="E65" s="4" t="s">
        <v>23</v>
      </c>
      <c r="F65" s="4" t="s">
        <v>74</v>
      </c>
      <c r="G65" s="6">
        <v>1</v>
      </c>
      <c r="H65" s="7">
        <v>35000</v>
      </c>
      <c r="I65" s="7">
        <f t="shared" si="8"/>
        <v>35000</v>
      </c>
      <c r="J65" s="8"/>
      <c r="K65" s="7" t="str">
        <f t="shared" si="9"/>
        <v/>
      </c>
      <c r="L65" s="7">
        <f t="shared" si="10"/>
        <v>35000</v>
      </c>
      <c r="M65" s="7" t="str">
        <f t="shared" si="11"/>
        <v/>
      </c>
      <c r="N65" s="9"/>
      <c r="O65" s="6" t="s">
        <v>25</v>
      </c>
      <c r="P65" s="5"/>
    </row>
    <row r="66" spans="1:16" x14ac:dyDescent="0.3">
      <c r="A66" s="4">
        <v>54</v>
      </c>
      <c r="B66" s="5" t="s">
        <v>208</v>
      </c>
      <c r="C66" s="5"/>
      <c r="D66" s="5" t="s">
        <v>209</v>
      </c>
      <c r="E66" s="4" t="s">
        <v>23</v>
      </c>
      <c r="F66" s="4" t="s">
        <v>24</v>
      </c>
      <c r="G66" s="6">
        <v>4</v>
      </c>
      <c r="H66" s="7">
        <v>3000</v>
      </c>
      <c r="I66" s="7">
        <f t="shared" si="8"/>
        <v>12000</v>
      </c>
      <c r="J66" s="8"/>
      <c r="K66" s="7" t="str">
        <f t="shared" si="9"/>
        <v/>
      </c>
      <c r="L66" s="7">
        <f t="shared" si="10"/>
        <v>12000</v>
      </c>
      <c r="M66" s="7" t="str">
        <f t="shared" si="11"/>
        <v/>
      </c>
      <c r="N66" s="9"/>
      <c r="O66" s="6" t="s">
        <v>25</v>
      </c>
      <c r="P66" s="5"/>
    </row>
    <row r="67" spans="1:16" x14ac:dyDescent="0.3">
      <c r="A67" s="11"/>
      <c r="B67" s="11" t="s">
        <v>210</v>
      </c>
      <c r="C67" s="11"/>
      <c r="D67" s="11"/>
      <c r="E67" s="11"/>
      <c r="F67" s="11"/>
      <c r="G67" s="11"/>
      <c r="H67" s="11"/>
      <c r="I67" s="12">
        <f>SUMIFS(I59:I66,E59:E66,"Inti")</f>
        <v>362000</v>
      </c>
      <c r="J67" s="11"/>
      <c r="K67" s="12">
        <f>SUMIFS(K59:K66,E59:E66,"Inti")</f>
        <v>0</v>
      </c>
      <c r="L67" s="12">
        <f>SUMIFS(L59:L66,E59:E66,"Inti")</f>
        <v>362000</v>
      </c>
      <c r="M67" s="11"/>
      <c r="N67" s="34"/>
      <c r="O67" s="11"/>
      <c r="P67" s="11"/>
    </row>
    <row r="69" spans="1:16" x14ac:dyDescent="0.3">
      <c r="A69" s="31" t="s">
        <v>211</v>
      </c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</row>
    <row r="70" spans="1:16" x14ac:dyDescent="0.3">
      <c r="A70" s="4">
        <v>55</v>
      </c>
      <c r="B70" s="5" t="s">
        <v>212</v>
      </c>
      <c r="C70" s="5"/>
      <c r="D70" s="5" t="s">
        <v>213</v>
      </c>
      <c r="E70" s="4" t="s">
        <v>23</v>
      </c>
      <c r="F70" s="4" t="s">
        <v>24</v>
      </c>
      <c r="G70" s="6">
        <v>1</v>
      </c>
      <c r="H70" s="7">
        <v>15000</v>
      </c>
      <c r="I70" s="7">
        <f t="shared" ref="I70:I75" si="12">G70*H70</f>
        <v>15000</v>
      </c>
      <c r="J70" s="8"/>
      <c r="K70" s="7" t="str">
        <f t="shared" ref="K70:K75" si="13">IF(J70="","",G70*J70)</f>
        <v/>
      </c>
      <c r="L70" s="7">
        <f t="shared" ref="L70:L75" si="14">IF(J70="",I70,K70)</f>
        <v>15000</v>
      </c>
      <c r="M70" s="7" t="str">
        <f t="shared" ref="M70:M75" si="15">IF(J70="","",K70-I70)</f>
        <v/>
      </c>
      <c r="N70" s="9"/>
      <c r="O70" s="6" t="s">
        <v>25</v>
      </c>
      <c r="P70" s="5"/>
    </row>
    <row r="71" spans="1:16" x14ac:dyDescent="0.3">
      <c r="A71" s="4">
        <v>56</v>
      </c>
      <c r="B71" s="5" t="s">
        <v>214</v>
      </c>
      <c r="C71" s="5"/>
      <c r="D71" s="5" t="s">
        <v>215</v>
      </c>
      <c r="E71" s="4" t="s">
        <v>23</v>
      </c>
      <c r="F71" s="4" t="s">
        <v>24</v>
      </c>
      <c r="G71" s="6">
        <v>1</v>
      </c>
      <c r="H71" s="7">
        <v>20000</v>
      </c>
      <c r="I71" s="7">
        <f t="shared" si="12"/>
        <v>20000</v>
      </c>
      <c r="J71" s="8"/>
      <c r="K71" s="7" t="str">
        <f t="shared" si="13"/>
        <v/>
      </c>
      <c r="L71" s="7">
        <f t="shared" si="14"/>
        <v>20000</v>
      </c>
      <c r="M71" s="7" t="str">
        <f t="shared" si="15"/>
        <v/>
      </c>
      <c r="N71" s="9"/>
      <c r="O71" s="6" t="s">
        <v>25</v>
      </c>
      <c r="P71" s="5"/>
    </row>
    <row r="72" spans="1:16" x14ac:dyDescent="0.3">
      <c r="A72" s="4">
        <v>57</v>
      </c>
      <c r="B72" s="5" t="s">
        <v>216</v>
      </c>
      <c r="C72" s="5" t="s">
        <v>217</v>
      </c>
      <c r="D72" s="5" t="s">
        <v>218</v>
      </c>
      <c r="E72" s="4" t="s">
        <v>23</v>
      </c>
      <c r="F72" s="4" t="s">
        <v>24</v>
      </c>
      <c r="G72" s="6">
        <v>1</v>
      </c>
      <c r="H72" s="7">
        <v>35000</v>
      </c>
      <c r="I72" s="7">
        <f t="shared" si="12"/>
        <v>35000</v>
      </c>
      <c r="J72" s="8"/>
      <c r="K72" s="7" t="str">
        <f t="shared" si="13"/>
        <v/>
      </c>
      <c r="L72" s="7">
        <f t="shared" si="14"/>
        <v>35000</v>
      </c>
      <c r="M72" s="7" t="str">
        <f t="shared" si="15"/>
        <v/>
      </c>
      <c r="N72" s="9"/>
      <c r="O72" s="6" t="s">
        <v>25</v>
      </c>
      <c r="P72" s="5"/>
    </row>
    <row r="73" spans="1:16" x14ac:dyDescent="0.3">
      <c r="A73" s="4">
        <v>58</v>
      </c>
      <c r="B73" s="5" t="s">
        <v>219</v>
      </c>
      <c r="C73" s="5"/>
      <c r="D73" s="5" t="s">
        <v>220</v>
      </c>
      <c r="E73" s="4" t="s">
        <v>23</v>
      </c>
      <c r="F73" s="4" t="s">
        <v>221</v>
      </c>
      <c r="G73" s="6">
        <v>2</v>
      </c>
      <c r="H73" s="7">
        <v>3000</v>
      </c>
      <c r="I73" s="7">
        <f t="shared" si="12"/>
        <v>6000</v>
      </c>
      <c r="J73" s="8"/>
      <c r="K73" s="7" t="str">
        <f t="shared" si="13"/>
        <v/>
      </c>
      <c r="L73" s="7">
        <f t="shared" si="14"/>
        <v>6000</v>
      </c>
      <c r="M73" s="7" t="str">
        <f t="shared" si="15"/>
        <v/>
      </c>
      <c r="N73" s="9"/>
      <c r="O73" s="6" t="s">
        <v>25</v>
      </c>
      <c r="P73" s="5"/>
    </row>
    <row r="74" spans="1:16" ht="28.8" x14ac:dyDescent="0.3">
      <c r="A74" s="4">
        <v>59</v>
      </c>
      <c r="B74" s="5" t="s">
        <v>222</v>
      </c>
      <c r="C74" s="5" t="s">
        <v>223</v>
      </c>
      <c r="D74" s="5" t="s">
        <v>224</v>
      </c>
      <c r="E74" s="4" t="s">
        <v>23</v>
      </c>
      <c r="F74" s="4" t="s">
        <v>225</v>
      </c>
      <c r="G74" s="6">
        <v>1</v>
      </c>
      <c r="H74" s="7">
        <v>5000</v>
      </c>
      <c r="I74" s="7">
        <f t="shared" si="12"/>
        <v>5000</v>
      </c>
      <c r="J74" s="8"/>
      <c r="K74" s="7" t="str">
        <f t="shared" si="13"/>
        <v/>
      </c>
      <c r="L74" s="7">
        <f t="shared" si="14"/>
        <v>5000</v>
      </c>
      <c r="M74" s="7" t="str">
        <f t="shared" si="15"/>
        <v/>
      </c>
      <c r="N74" s="9"/>
      <c r="O74" s="6" t="s">
        <v>25</v>
      </c>
      <c r="P74" s="5" t="s">
        <v>226</v>
      </c>
    </row>
    <row r="75" spans="1:16" x14ac:dyDescent="0.3">
      <c r="A75" s="4">
        <v>60</v>
      </c>
      <c r="B75" s="5" t="s">
        <v>227</v>
      </c>
      <c r="C75" s="5"/>
      <c r="D75" s="5" t="s">
        <v>228</v>
      </c>
      <c r="E75" s="4" t="s">
        <v>23</v>
      </c>
      <c r="F75" s="4" t="s">
        <v>74</v>
      </c>
      <c r="G75" s="6">
        <v>1</v>
      </c>
      <c r="H75" s="7">
        <v>15000</v>
      </c>
      <c r="I75" s="7">
        <f t="shared" si="12"/>
        <v>15000</v>
      </c>
      <c r="J75" s="8"/>
      <c r="K75" s="7" t="str">
        <f t="shared" si="13"/>
        <v/>
      </c>
      <c r="L75" s="7">
        <f t="shared" si="14"/>
        <v>15000</v>
      </c>
      <c r="M75" s="7" t="str">
        <f t="shared" si="15"/>
        <v/>
      </c>
      <c r="N75" s="9"/>
      <c r="O75" s="6" t="s">
        <v>25</v>
      </c>
      <c r="P75" s="5"/>
    </row>
    <row r="76" spans="1:16" x14ac:dyDescent="0.3">
      <c r="A76" s="11"/>
      <c r="B76" s="11" t="s">
        <v>229</v>
      </c>
      <c r="C76" s="11"/>
      <c r="D76" s="11"/>
      <c r="E76" s="11"/>
      <c r="F76" s="11"/>
      <c r="G76" s="11"/>
      <c r="H76" s="11"/>
      <c r="I76" s="12">
        <f>SUMIFS(I70:I75,E70:E75,"Inti")</f>
        <v>96000</v>
      </c>
      <c r="J76" s="11"/>
      <c r="K76" s="12">
        <f>SUMIFS(K70:K75,E70:E75,"Inti")</f>
        <v>0</v>
      </c>
      <c r="L76" s="12">
        <f>SUMIFS(L70:L75,E70:E75,"Inti")</f>
        <v>96000</v>
      </c>
      <c r="M76" s="11"/>
      <c r="N76" s="34"/>
      <c r="O76" s="11"/>
      <c r="P76" s="11"/>
    </row>
    <row r="78" spans="1:16" x14ac:dyDescent="0.3">
      <c r="A78" s="31" t="s">
        <v>230</v>
      </c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</row>
    <row r="79" spans="1:16" x14ac:dyDescent="0.3">
      <c r="A79" s="4">
        <v>61</v>
      </c>
      <c r="B79" s="5" t="s">
        <v>231</v>
      </c>
      <c r="C79" s="5" t="s">
        <v>232</v>
      </c>
      <c r="D79" s="5" t="s">
        <v>233</v>
      </c>
      <c r="E79" s="4" t="s">
        <v>23</v>
      </c>
      <c r="F79" s="4" t="s">
        <v>24</v>
      </c>
      <c r="G79" s="6">
        <v>1</v>
      </c>
      <c r="H79" s="7">
        <v>80000</v>
      </c>
      <c r="I79" s="7">
        <f>G79*H79</f>
        <v>80000</v>
      </c>
      <c r="J79" s="8"/>
      <c r="K79" s="7" t="str">
        <f>IF(J79="","",G79*J79)</f>
        <v/>
      </c>
      <c r="L79" s="7">
        <f>IF(J79="",I79,K79)</f>
        <v>80000</v>
      </c>
      <c r="M79" s="7" t="str">
        <f>IF(J79="","",K79-I79)</f>
        <v/>
      </c>
      <c r="N79" s="9"/>
      <c r="O79" s="6" t="s">
        <v>25</v>
      </c>
      <c r="P79" s="5" t="s">
        <v>234</v>
      </c>
    </row>
    <row r="80" spans="1:16" x14ac:dyDescent="0.3">
      <c r="A80" s="4">
        <v>62</v>
      </c>
      <c r="B80" s="5" t="s">
        <v>235</v>
      </c>
      <c r="C80" s="5" t="s">
        <v>236</v>
      </c>
      <c r="D80" s="5" t="s">
        <v>237</v>
      </c>
      <c r="E80" s="4" t="s">
        <v>23</v>
      </c>
      <c r="F80" s="4" t="s">
        <v>56</v>
      </c>
      <c r="G80" s="6">
        <v>1</v>
      </c>
      <c r="H80" s="7">
        <v>30000</v>
      </c>
      <c r="I80" s="7">
        <f>G80*H80</f>
        <v>30000</v>
      </c>
      <c r="J80" s="8"/>
      <c r="K80" s="7" t="str">
        <f>IF(J80="","",G80*J80)</f>
        <v/>
      </c>
      <c r="L80" s="7">
        <f>IF(J80="",I80,K80)</f>
        <v>30000</v>
      </c>
      <c r="M80" s="7" t="str">
        <f>IF(J80="","",K80-I80)</f>
        <v/>
      </c>
      <c r="N80" s="9"/>
      <c r="O80" s="6" t="s">
        <v>25</v>
      </c>
      <c r="P80" s="5" t="s">
        <v>238</v>
      </c>
    </row>
    <row r="81" spans="1:16" x14ac:dyDescent="0.3">
      <c r="A81" s="4">
        <v>63</v>
      </c>
      <c r="B81" s="5" t="s">
        <v>239</v>
      </c>
      <c r="C81" s="5" t="s">
        <v>240</v>
      </c>
      <c r="D81" s="5" t="s">
        <v>241</v>
      </c>
      <c r="E81" s="4" t="s">
        <v>23</v>
      </c>
      <c r="F81" s="4" t="s">
        <v>24</v>
      </c>
      <c r="G81" s="6">
        <v>1</v>
      </c>
      <c r="H81" s="7">
        <v>35000</v>
      </c>
      <c r="I81" s="7">
        <f>G81*H81</f>
        <v>35000</v>
      </c>
      <c r="J81" s="8"/>
      <c r="K81" s="7" t="str">
        <f>IF(J81="","",G81*J81)</f>
        <v/>
      </c>
      <c r="L81" s="7">
        <f>IF(J81="",I81,K81)</f>
        <v>35000</v>
      </c>
      <c r="M81" s="7" t="str">
        <f>IF(J81="","",K81-I81)</f>
        <v/>
      </c>
      <c r="N81" s="9"/>
      <c r="O81" s="6" t="s">
        <v>25</v>
      </c>
      <c r="P81" s="5" t="s">
        <v>242</v>
      </c>
    </row>
    <row r="82" spans="1:16" x14ac:dyDescent="0.3">
      <c r="A82" s="4">
        <v>64</v>
      </c>
      <c r="B82" s="5" t="s">
        <v>243</v>
      </c>
      <c r="C82" s="5"/>
      <c r="D82" s="5" t="s">
        <v>244</v>
      </c>
      <c r="E82" s="4" t="s">
        <v>23</v>
      </c>
      <c r="F82" s="4" t="s">
        <v>24</v>
      </c>
      <c r="G82" s="6">
        <v>1</v>
      </c>
      <c r="H82" s="7">
        <v>25000</v>
      </c>
      <c r="I82" s="7">
        <f>G82*H82</f>
        <v>25000</v>
      </c>
      <c r="J82" s="8"/>
      <c r="K82" s="7" t="str">
        <f>IF(J82="","",G82*J82)</f>
        <v/>
      </c>
      <c r="L82" s="7">
        <f>IF(J82="",I82,K82)</f>
        <v>25000</v>
      </c>
      <c r="M82" s="7" t="str">
        <f>IF(J82="","",K82-I82)</f>
        <v/>
      </c>
      <c r="N82" s="9"/>
      <c r="O82" s="6" t="s">
        <v>25</v>
      </c>
      <c r="P82" s="5"/>
    </row>
    <row r="83" spans="1:16" x14ac:dyDescent="0.3">
      <c r="A83" s="4">
        <v>65</v>
      </c>
      <c r="B83" s="5" t="s">
        <v>245</v>
      </c>
      <c r="C83" s="5"/>
      <c r="D83" s="5" t="s">
        <v>246</v>
      </c>
      <c r="E83" s="4" t="s">
        <v>23</v>
      </c>
      <c r="F83" s="4" t="s">
        <v>24</v>
      </c>
      <c r="G83" s="6">
        <v>1</v>
      </c>
      <c r="H83" s="7">
        <v>25000</v>
      </c>
      <c r="I83" s="7">
        <f>G83*H83</f>
        <v>25000</v>
      </c>
      <c r="J83" s="8"/>
      <c r="K83" s="7" t="str">
        <f>IF(J83="","",G83*J83)</f>
        <v/>
      </c>
      <c r="L83" s="7">
        <f>IF(J83="",I83,K83)</f>
        <v>25000</v>
      </c>
      <c r="M83" s="7" t="str">
        <f>IF(J83="","",K83-I83)</f>
        <v/>
      </c>
      <c r="N83" s="9"/>
      <c r="O83" s="6" t="s">
        <v>25</v>
      </c>
      <c r="P83" s="5"/>
    </row>
    <row r="84" spans="1:16" x14ac:dyDescent="0.3">
      <c r="A84" s="11"/>
      <c r="B84" s="11" t="s">
        <v>247</v>
      </c>
      <c r="C84" s="11"/>
      <c r="D84" s="11"/>
      <c r="E84" s="11"/>
      <c r="F84" s="11"/>
      <c r="G84" s="11"/>
      <c r="H84" s="11"/>
      <c r="I84" s="12">
        <f>SUMIFS(I79:I83,E79:E83,"Inti")</f>
        <v>195000</v>
      </c>
      <c r="J84" s="11"/>
      <c r="K84" s="12">
        <f>SUMIFS(K79:K83,E79:E83,"Inti")</f>
        <v>0</v>
      </c>
      <c r="L84" s="12">
        <f>SUMIFS(L79:L83,E79:E83,"Inti")</f>
        <v>195000</v>
      </c>
      <c r="M84" s="11"/>
      <c r="N84" s="34"/>
      <c r="O84" s="11"/>
      <c r="P84" s="11"/>
    </row>
    <row r="86" spans="1:16" x14ac:dyDescent="0.3">
      <c r="A86" s="31" t="s">
        <v>248</v>
      </c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</row>
    <row r="87" spans="1:16" x14ac:dyDescent="0.3">
      <c r="A87" s="4">
        <v>66</v>
      </c>
      <c r="B87" s="5" t="s">
        <v>249</v>
      </c>
      <c r="C87" s="5" t="s">
        <v>250</v>
      </c>
      <c r="D87" s="5"/>
      <c r="E87" s="4" t="s">
        <v>23</v>
      </c>
      <c r="F87" s="4" t="s">
        <v>74</v>
      </c>
      <c r="G87" s="6">
        <v>1</v>
      </c>
      <c r="H87" s="7">
        <v>100000</v>
      </c>
      <c r="I87" s="7">
        <f>G87*H87</f>
        <v>100000</v>
      </c>
      <c r="J87" s="8"/>
      <c r="K87" s="7" t="str">
        <f>IF(J87="","",G87*J87)</f>
        <v/>
      </c>
      <c r="L87" s="7">
        <f>IF(J87="",I87,K87)</f>
        <v>100000</v>
      </c>
      <c r="M87" s="7" t="str">
        <f>IF(J87="","",K87-I87)</f>
        <v/>
      </c>
      <c r="N87" s="9"/>
      <c r="O87" s="6" t="s">
        <v>25</v>
      </c>
      <c r="P87" s="5" t="s">
        <v>251</v>
      </c>
    </row>
    <row r="88" spans="1:16" x14ac:dyDescent="0.3">
      <c r="A88" s="4">
        <v>67</v>
      </c>
      <c r="B88" s="5" t="s">
        <v>252</v>
      </c>
      <c r="C88" s="5" t="s">
        <v>253</v>
      </c>
      <c r="D88" s="5"/>
      <c r="E88" s="4" t="s">
        <v>23</v>
      </c>
      <c r="F88" s="4" t="s">
        <v>74</v>
      </c>
      <c r="G88" s="6">
        <v>1</v>
      </c>
      <c r="H88" s="7">
        <v>50000</v>
      </c>
      <c r="I88" s="7">
        <f>G88*H88</f>
        <v>50000</v>
      </c>
      <c r="J88" s="8"/>
      <c r="K88" s="7" t="str">
        <f>IF(J88="","",G88*J88)</f>
        <v/>
      </c>
      <c r="L88" s="7">
        <f>IF(J88="",I88,K88)</f>
        <v>50000</v>
      </c>
      <c r="M88" s="7" t="str">
        <f>IF(J88="","",K88-I88)</f>
        <v/>
      </c>
      <c r="N88" s="9"/>
      <c r="O88" s="6" t="s">
        <v>25</v>
      </c>
      <c r="P88" s="5"/>
    </row>
    <row r="89" spans="1:16" x14ac:dyDescent="0.3">
      <c r="A89" s="11"/>
      <c r="B89" s="11" t="s">
        <v>254</v>
      </c>
      <c r="C89" s="11"/>
      <c r="D89" s="11"/>
      <c r="E89" s="11"/>
      <c r="F89" s="11"/>
      <c r="G89" s="11"/>
      <c r="H89" s="11"/>
      <c r="I89" s="12">
        <f>SUMIFS(I87:I88,E87:E88,"Inti")</f>
        <v>150000</v>
      </c>
      <c r="J89" s="11"/>
      <c r="K89" s="12">
        <f>SUMIFS(K87:K88,E87:E88,"Inti")</f>
        <v>0</v>
      </c>
      <c r="L89" s="12">
        <f>SUMIFS(L87:L88,E87:E88,"Inti")</f>
        <v>150000</v>
      </c>
      <c r="M89" s="11"/>
      <c r="N89" s="34"/>
      <c r="O89" s="11"/>
      <c r="P89" s="11"/>
    </row>
    <row r="91" spans="1:16" x14ac:dyDescent="0.3">
      <c r="A91" s="31" t="s">
        <v>255</v>
      </c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</row>
    <row r="92" spans="1:16" x14ac:dyDescent="0.3">
      <c r="A92" s="4">
        <v>68</v>
      </c>
      <c r="B92" s="5" t="s">
        <v>256</v>
      </c>
      <c r="C92" s="5" t="s">
        <v>257</v>
      </c>
      <c r="D92" s="5"/>
      <c r="E92" s="4" t="s">
        <v>23</v>
      </c>
      <c r="F92" s="4" t="s">
        <v>74</v>
      </c>
      <c r="G92" s="6">
        <v>1</v>
      </c>
      <c r="H92" s="7">
        <v>250000</v>
      </c>
      <c r="I92" s="7">
        <f t="shared" ref="I92:I98" si="16">G92*H92</f>
        <v>250000</v>
      </c>
      <c r="J92" s="13"/>
      <c r="K92" s="7" t="str">
        <f t="shared" ref="K92:K98" si="17">IF(J92="","",G92*J92)</f>
        <v/>
      </c>
      <c r="L92" s="7">
        <f t="shared" ref="L92:L98" si="18">IF(J92="",I92,K92)</f>
        <v>250000</v>
      </c>
      <c r="M92" s="7" t="str">
        <f t="shared" ref="M92:M98" si="19">IF(J92="","",K92-I92)</f>
        <v/>
      </c>
      <c r="N92" s="14"/>
      <c r="O92" s="6" t="s">
        <v>25</v>
      </c>
      <c r="P92" s="5"/>
    </row>
    <row r="93" spans="1:16" x14ac:dyDescent="0.3">
      <c r="A93" s="4">
        <v>69</v>
      </c>
      <c r="B93" s="5" t="s">
        <v>258</v>
      </c>
      <c r="C93" s="5" t="s">
        <v>259</v>
      </c>
      <c r="D93" s="5"/>
      <c r="E93" s="4" t="s">
        <v>23</v>
      </c>
      <c r="F93" s="4" t="s">
        <v>74</v>
      </c>
      <c r="G93" s="6">
        <v>1</v>
      </c>
      <c r="H93" s="7">
        <v>150000</v>
      </c>
      <c r="I93" s="7">
        <f t="shared" si="16"/>
        <v>150000</v>
      </c>
      <c r="J93" s="13"/>
      <c r="K93" s="7" t="str">
        <f t="shared" si="17"/>
        <v/>
      </c>
      <c r="L93" s="7">
        <f t="shared" si="18"/>
        <v>150000</v>
      </c>
      <c r="M93" s="7" t="str">
        <f t="shared" si="19"/>
        <v/>
      </c>
      <c r="N93" s="14"/>
      <c r="O93" s="6" t="s">
        <v>25</v>
      </c>
      <c r="P93" s="5"/>
    </row>
    <row r="94" spans="1:16" ht="28.8" x14ac:dyDescent="0.3">
      <c r="A94" s="4">
        <v>70</v>
      </c>
      <c r="B94" s="5" t="s">
        <v>260</v>
      </c>
      <c r="C94" s="5" t="s">
        <v>261</v>
      </c>
      <c r="D94" s="5"/>
      <c r="E94" s="4" t="s">
        <v>23</v>
      </c>
      <c r="F94" s="4" t="s">
        <v>74</v>
      </c>
      <c r="G94" s="6">
        <v>1</v>
      </c>
      <c r="H94" s="7">
        <v>400000</v>
      </c>
      <c r="I94" s="7">
        <f t="shared" si="16"/>
        <v>400000</v>
      </c>
      <c r="J94" s="13"/>
      <c r="K94" s="7" t="str">
        <f t="shared" si="17"/>
        <v/>
      </c>
      <c r="L94" s="7">
        <f t="shared" si="18"/>
        <v>400000</v>
      </c>
      <c r="M94" s="7" t="str">
        <f t="shared" si="19"/>
        <v/>
      </c>
      <c r="N94" s="14"/>
      <c r="O94" s="6" t="s">
        <v>25</v>
      </c>
      <c r="P94" s="5"/>
    </row>
    <row r="95" spans="1:16" ht="43.2" x14ac:dyDescent="0.3">
      <c r="A95" s="4">
        <v>71</v>
      </c>
      <c r="B95" s="5" t="s">
        <v>262</v>
      </c>
      <c r="C95" s="5" t="s">
        <v>263</v>
      </c>
      <c r="D95" s="5"/>
      <c r="E95" s="4" t="s">
        <v>23</v>
      </c>
      <c r="F95" s="4" t="s">
        <v>74</v>
      </c>
      <c r="G95" s="6">
        <v>1</v>
      </c>
      <c r="H95" s="7">
        <v>450000</v>
      </c>
      <c r="I95" s="7">
        <f t="shared" si="16"/>
        <v>450000</v>
      </c>
      <c r="J95" s="13"/>
      <c r="K95" s="7" t="str">
        <f t="shared" si="17"/>
        <v/>
      </c>
      <c r="L95" s="7">
        <f t="shared" si="18"/>
        <v>450000</v>
      </c>
      <c r="M95" s="7" t="str">
        <f t="shared" si="19"/>
        <v/>
      </c>
      <c r="N95" s="14"/>
      <c r="O95" s="6" t="s">
        <v>25</v>
      </c>
      <c r="P95" s="5"/>
    </row>
    <row r="96" spans="1:16" ht="28.8" x14ac:dyDescent="0.3">
      <c r="A96" s="4">
        <v>72</v>
      </c>
      <c r="B96" s="5" t="s">
        <v>264</v>
      </c>
      <c r="C96" s="5" t="s">
        <v>265</v>
      </c>
      <c r="D96" s="5"/>
      <c r="E96" s="4" t="s">
        <v>23</v>
      </c>
      <c r="F96" s="4" t="s">
        <v>74</v>
      </c>
      <c r="G96" s="6">
        <v>1</v>
      </c>
      <c r="H96" s="7">
        <v>150000</v>
      </c>
      <c r="I96" s="7">
        <f t="shared" si="16"/>
        <v>150000</v>
      </c>
      <c r="J96" s="13"/>
      <c r="K96" s="7" t="str">
        <f t="shared" si="17"/>
        <v/>
      </c>
      <c r="L96" s="7">
        <f t="shared" si="18"/>
        <v>150000</v>
      </c>
      <c r="M96" s="7" t="str">
        <f t="shared" si="19"/>
        <v/>
      </c>
      <c r="N96" s="14"/>
      <c r="O96" s="6" t="s">
        <v>25</v>
      </c>
      <c r="P96" s="5"/>
    </row>
    <row r="97" spans="1:16" ht="28.8" x14ac:dyDescent="0.3">
      <c r="A97" s="4">
        <v>73</v>
      </c>
      <c r="B97" s="5" t="s">
        <v>266</v>
      </c>
      <c r="C97" s="5" t="s">
        <v>267</v>
      </c>
      <c r="D97" s="5"/>
      <c r="E97" s="4" t="s">
        <v>23</v>
      </c>
      <c r="F97" s="4" t="s">
        <v>74</v>
      </c>
      <c r="G97" s="6">
        <v>1</v>
      </c>
      <c r="H97" s="7">
        <v>100000</v>
      </c>
      <c r="I97" s="7">
        <f t="shared" si="16"/>
        <v>100000</v>
      </c>
      <c r="J97" s="13"/>
      <c r="K97" s="7" t="str">
        <f t="shared" si="17"/>
        <v/>
      </c>
      <c r="L97" s="7">
        <f t="shared" si="18"/>
        <v>100000</v>
      </c>
      <c r="M97" s="7" t="str">
        <f t="shared" si="19"/>
        <v/>
      </c>
      <c r="N97" s="14"/>
      <c r="O97" s="6" t="s">
        <v>25</v>
      </c>
      <c r="P97" s="5" t="s">
        <v>268</v>
      </c>
    </row>
    <row r="98" spans="1:16" x14ac:dyDescent="0.3">
      <c r="A98" s="4">
        <v>74</v>
      </c>
      <c r="B98" s="10" t="s">
        <v>269</v>
      </c>
      <c r="C98" s="5" t="s">
        <v>270</v>
      </c>
      <c r="D98" s="5"/>
      <c r="E98" s="4" t="s">
        <v>88</v>
      </c>
      <c r="F98" s="4" t="s">
        <v>74</v>
      </c>
      <c r="G98" s="6">
        <v>1</v>
      </c>
      <c r="H98" s="7">
        <v>200000</v>
      </c>
      <c r="I98" s="7">
        <f t="shared" si="16"/>
        <v>200000</v>
      </c>
      <c r="J98" s="13"/>
      <c r="K98" s="7" t="str">
        <f t="shared" si="17"/>
        <v/>
      </c>
      <c r="L98" s="7">
        <f t="shared" si="18"/>
        <v>200000</v>
      </c>
      <c r="M98" s="7" t="str">
        <f t="shared" si="19"/>
        <v/>
      </c>
      <c r="N98" s="14"/>
      <c r="O98" s="6" t="s">
        <v>25</v>
      </c>
      <c r="P98" s="5"/>
    </row>
    <row r="99" spans="1:16" x14ac:dyDescent="0.3">
      <c r="A99" s="11"/>
      <c r="B99" s="11" t="s">
        <v>271</v>
      </c>
      <c r="C99" s="11"/>
      <c r="D99" s="11"/>
      <c r="E99" s="11"/>
      <c r="F99" s="11"/>
      <c r="G99" s="11"/>
      <c r="H99" s="11"/>
      <c r="I99" s="12">
        <f>SUMIFS(I92:I98,E92:E98,"Inti")</f>
        <v>1500000</v>
      </c>
      <c r="J99" s="11"/>
      <c r="K99" s="12">
        <f>SUMIFS(K92:K98,E92:E98,"Inti")</f>
        <v>0</v>
      </c>
      <c r="L99" s="12">
        <f>SUMIFS(L92:L98,E92:E98,"Inti")</f>
        <v>1500000</v>
      </c>
      <c r="M99" s="11"/>
      <c r="N99" s="34"/>
      <c r="O99" s="11"/>
      <c r="P99" s="11"/>
    </row>
  </sheetData>
  <autoFilter ref="A5:P100" xr:uid="{00000000-0009-0000-0000-000000000000}"/>
  <mergeCells count="7">
    <mergeCell ref="A31:P31"/>
    <mergeCell ref="A6:P6"/>
    <mergeCell ref="A58:P58"/>
    <mergeCell ref="A69:P69"/>
    <mergeCell ref="A91:P91"/>
    <mergeCell ref="A78:P78"/>
    <mergeCell ref="A86:P86"/>
  </mergeCells>
  <dataValidations count="2">
    <dataValidation type="list" allowBlank="1" sqref="E6:E100" xr:uid="{00000000-0002-0000-0000-000000000000}">
      <formula1>"Inti,Lengkap,Opsional"</formula1>
    </dataValidation>
    <dataValidation type="list" allowBlank="1" sqref="O6:O100" xr:uid="{00000000-0002-0000-0000-000001000000}">
      <formula1>"Belum,Dipesan,Diterima,Batal"</formula1>
    </dataValidation>
  </dataValidations>
  <hyperlinks>
    <hyperlink ref="N11" r:id="rId1" xr:uid="{EC9620B0-5C6E-4386-91BF-BF3E860AECD9}"/>
  </hyperlinks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8"/>
  <sheetViews>
    <sheetView workbookViewId="0"/>
  </sheetViews>
  <sheetFormatPr defaultRowHeight="14.4" x14ac:dyDescent="0.3"/>
  <cols>
    <col min="1" max="1" width="46" customWidth="1"/>
    <col min="2" max="4" width="18" customWidth="1"/>
    <col min="5" max="5" width="16" customWidth="1"/>
    <col min="6" max="6" width="40" customWidth="1"/>
  </cols>
  <sheetData>
    <row r="1" spans="1:5" ht="18" x14ac:dyDescent="0.35">
      <c r="A1" s="1" t="s">
        <v>272</v>
      </c>
    </row>
    <row r="2" spans="1:5" x14ac:dyDescent="0.3">
      <c r="A2" s="2" t="s">
        <v>273</v>
      </c>
    </row>
    <row r="4" spans="1:5" x14ac:dyDescent="0.3">
      <c r="A4" s="15" t="s">
        <v>274</v>
      </c>
      <c r="B4" s="16">
        <v>2000000</v>
      </c>
      <c r="C4" s="15"/>
      <c r="D4" s="15"/>
      <c r="E4" s="15"/>
    </row>
    <row r="5" spans="1:5" x14ac:dyDescent="0.3">
      <c r="A5" s="15" t="s">
        <v>275</v>
      </c>
      <c r="B5" s="17">
        <v>0.1</v>
      </c>
      <c r="C5" s="15"/>
      <c r="D5" s="15"/>
      <c r="E5" s="15"/>
    </row>
    <row r="6" spans="1:5" x14ac:dyDescent="0.3">
      <c r="A6" s="15"/>
      <c r="B6" s="15"/>
      <c r="C6" s="15"/>
      <c r="D6" s="15"/>
      <c r="E6" s="15"/>
    </row>
    <row r="7" spans="1:5" x14ac:dyDescent="0.3">
      <c r="A7" s="18" t="s">
        <v>276</v>
      </c>
      <c r="B7" s="15"/>
      <c r="C7" s="15"/>
      <c r="D7" s="15"/>
      <c r="E7" s="15"/>
    </row>
    <row r="8" spans="1:5" ht="30" customHeight="1" x14ac:dyDescent="0.3">
      <c r="A8" s="19" t="s">
        <v>277</v>
      </c>
      <c r="B8" s="19" t="s">
        <v>278</v>
      </c>
      <c r="C8" s="19" t="s">
        <v>279</v>
      </c>
      <c r="D8" s="19" t="s">
        <v>280</v>
      </c>
      <c r="E8" s="19" t="s">
        <v>281</v>
      </c>
    </row>
    <row r="9" spans="1:5" x14ac:dyDescent="0.3">
      <c r="A9" s="20" t="s">
        <v>282</v>
      </c>
      <c r="B9" s="21">
        <f>SUMIFS(RAB!$I$7:$I$28,RAB!$E$7:$E$28,"Inti")</f>
        <v>570000</v>
      </c>
      <c r="C9" s="21">
        <f>SUMIFS(RAB!$K$7:$K$28,RAB!$E$7:$E$28,"Inti")</f>
        <v>0</v>
      </c>
      <c r="D9" s="21">
        <f>SUMIFS(RAB!$L$7:$L$28,RAB!$E$7:$E$28,"Inti")</f>
        <v>450000</v>
      </c>
      <c r="E9" s="20" t="str">
        <f>COUNTIFS(RAB!$E$7:$E$28,"Inti",RAB!$J$7:$J$28,"&lt;&gt;")&amp;" / "&amp;COUNTIFS(RAB!$E$7:$E$28,"Inti")</f>
        <v>2 / 18</v>
      </c>
    </row>
    <row r="10" spans="1:5" x14ac:dyDescent="0.3">
      <c r="A10" s="20" t="s">
        <v>283</v>
      </c>
      <c r="B10" s="21">
        <f>SUMIFS(RAB!$I$32:$I$55,RAB!$E$32:$E$55,"Inti")</f>
        <v>1024000</v>
      </c>
      <c r="C10" s="21">
        <f>SUMIFS(RAB!$K$32:$K$55,RAB!$E$32:$E$55,"Inti")</f>
        <v>0</v>
      </c>
      <c r="D10" s="21">
        <f>SUMIFS(RAB!$L$32:$L$55,RAB!$E$32:$E$55,"Inti")</f>
        <v>1024000</v>
      </c>
      <c r="E10" s="20" t="str">
        <f>COUNTIFS(RAB!$E$32:$E$55,"Inti",RAB!$J$32:$J$55,"&lt;&gt;")&amp;" / "&amp;COUNTIFS(RAB!$E$32:$E$55,"Inti")</f>
        <v>0 / 20</v>
      </c>
    </row>
    <row r="11" spans="1:5" x14ac:dyDescent="0.3">
      <c r="A11" s="20" t="s">
        <v>284</v>
      </c>
      <c r="B11" s="21">
        <f>SUMIFS(RAB!$I$59:$I$66,RAB!$E$59:$E$66,"Inti")</f>
        <v>362000</v>
      </c>
      <c r="C11" s="21">
        <f>SUMIFS(RAB!$K$59:$K$66,RAB!$E$59:$E$66,"Inti")</f>
        <v>0</v>
      </c>
      <c r="D11" s="21">
        <f>SUMIFS(RAB!$L$59:$L$66,RAB!$E$59:$E$66,"Inti")</f>
        <v>362000</v>
      </c>
      <c r="E11" s="20" t="str">
        <f>COUNTIFS(RAB!$E$59:$E$66,"Inti",RAB!$J$59:$J$66,"&lt;&gt;")&amp;" / "&amp;COUNTIFS(RAB!$E$59:$E$66,"Inti")</f>
        <v>0 / 8</v>
      </c>
    </row>
    <row r="12" spans="1:5" x14ac:dyDescent="0.3">
      <c r="A12" s="20" t="s">
        <v>285</v>
      </c>
      <c r="B12" s="21">
        <f>SUMIFS(RAB!$I$70:$I$75,RAB!$E$70:$E$75,"Inti")</f>
        <v>96000</v>
      </c>
      <c r="C12" s="21">
        <f>SUMIFS(RAB!$K$70:$K$75,RAB!$E$70:$E$75,"Inti")</f>
        <v>0</v>
      </c>
      <c r="D12" s="21">
        <f>SUMIFS(RAB!$L$70:$L$75,RAB!$E$70:$E$75,"Inti")</f>
        <v>96000</v>
      </c>
      <c r="E12" s="20" t="str">
        <f>COUNTIFS(RAB!$E$70:$E$75,"Inti",RAB!$J$70:$J$75,"&lt;&gt;")&amp;" / "&amp;COUNTIFS(RAB!$E$70:$E$75,"Inti")</f>
        <v>0 / 6</v>
      </c>
    </row>
    <row r="13" spans="1:5" x14ac:dyDescent="0.3">
      <c r="A13" s="20" t="s">
        <v>286</v>
      </c>
      <c r="B13" s="21">
        <f>SUMIFS(RAB!$I$79:$I$83,RAB!$E$79:$E$83,"Inti")</f>
        <v>195000</v>
      </c>
      <c r="C13" s="21">
        <f>SUMIFS(RAB!$K$79:$K$83,RAB!$E$79:$E$83,"Inti")</f>
        <v>0</v>
      </c>
      <c r="D13" s="21">
        <f>SUMIFS(RAB!$L$79:$L$83,RAB!$E$79:$E$83,"Inti")</f>
        <v>195000</v>
      </c>
      <c r="E13" s="20" t="str">
        <f>COUNTIFS(RAB!$E$79:$E$83,"Inti",RAB!$J$79:$J$83,"&lt;&gt;")&amp;" / "&amp;COUNTIFS(RAB!$E$79:$E$83,"Inti")</f>
        <v>0 / 5</v>
      </c>
    </row>
    <row r="14" spans="1:5" x14ac:dyDescent="0.3">
      <c r="A14" s="22" t="s">
        <v>287</v>
      </c>
      <c r="B14" s="23">
        <f>SUM(B9:B13)</f>
        <v>2247000</v>
      </c>
      <c r="C14" s="23">
        <f>SUM(C9:C13)</f>
        <v>0</v>
      </c>
      <c r="D14" s="23">
        <f>SUM(D9:D13)</f>
        <v>2127000</v>
      </c>
      <c r="E14" s="22"/>
    </row>
    <row r="15" spans="1:5" ht="43.2" x14ac:dyDescent="0.3">
      <c r="A15" s="20" t="s">
        <v>288</v>
      </c>
      <c r="B15" s="21">
        <f>B14*$B$5</f>
        <v>224700</v>
      </c>
      <c r="C15" s="21"/>
      <c r="D15" s="21">
        <f>D14*$B$5</f>
        <v>212700</v>
      </c>
      <c r="E15" s="20" t="s">
        <v>289</v>
      </c>
    </row>
    <row r="16" spans="1:5" x14ac:dyDescent="0.3">
      <c r="A16" s="20" t="s">
        <v>290</v>
      </c>
      <c r="B16" s="21">
        <f>SUMIFS(RAB!$I$87:$I$88,RAB!$E$87:$E$88,"Inti")</f>
        <v>150000</v>
      </c>
      <c r="C16" s="21">
        <f>SUMIFS(RAB!$K$87:$K$88,RAB!$E$87:$E$88,"Inti")</f>
        <v>0</v>
      </c>
      <c r="D16" s="21">
        <f>SUMIFS(RAB!$L$87:$L$88,RAB!$E$87:$E$88,"Inti")</f>
        <v>150000</v>
      </c>
      <c r="E16" s="20"/>
    </row>
    <row r="17" spans="1:5" x14ac:dyDescent="0.3">
      <c r="A17" s="22" t="s">
        <v>291</v>
      </c>
      <c r="B17" s="23">
        <f>B14+B15+B16</f>
        <v>2621700</v>
      </c>
      <c r="C17" s="23"/>
      <c r="D17" s="23">
        <f>D14+D15+D16</f>
        <v>2489700</v>
      </c>
      <c r="E17" s="22"/>
    </row>
    <row r="18" spans="1:5" x14ac:dyDescent="0.3">
      <c r="A18" s="20" t="s">
        <v>292</v>
      </c>
      <c r="B18" s="21">
        <f>SUMIFS(RAB!$I$92:$I$98,RAB!$E$92:$E$98,"Inti")</f>
        <v>1500000</v>
      </c>
      <c r="C18" s="21"/>
      <c r="D18" s="21">
        <f>SUMIFS(RAB!$L$92:$L$98,RAB!$E$92:$E$98,"Inti")</f>
        <v>1500000</v>
      </c>
      <c r="E18" s="20"/>
    </row>
    <row r="19" spans="1:5" x14ac:dyDescent="0.3">
      <c r="A19" s="24" t="s">
        <v>293</v>
      </c>
      <c r="B19" s="25">
        <f>B17+B18</f>
        <v>4121700</v>
      </c>
      <c r="C19" s="25"/>
      <c r="D19" s="25">
        <f>D17+D18</f>
        <v>3989700</v>
      </c>
      <c r="E19" s="24"/>
    </row>
    <row r="20" spans="1:5" x14ac:dyDescent="0.3">
      <c r="A20" s="26" t="s">
        <v>294</v>
      </c>
      <c r="B20" s="27">
        <f>B19-$B$4</f>
        <v>2121700</v>
      </c>
      <c r="C20" s="27"/>
      <c r="D20" s="27">
        <f>D19-$B$4</f>
        <v>1989700</v>
      </c>
      <c r="E20" s="26"/>
    </row>
    <row r="21" spans="1:5" x14ac:dyDescent="0.3">
      <c r="A21" s="26" t="s">
        <v>17</v>
      </c>
      <c r="B21" s="27" t="str">
        <f>IF(B19&lt;=$B$4,"Masuk target","Melebihi target")</f>
        <v>Melebihi target</v>
      </c>
      <c r="C21" s="27"/>
      <c r="D21" s="27" t="str">
        <f>IF(D19&lt;=$B$4,"Masuk target","Melebihi target")</f>
        <v>Melebihi target</v>
      </c>
      <c r="E21" s="26"/>
    </row>
    <row r="22" spans="1:5" x14ac:dyDescent="0.3">
      <c r="A22" s="20" t="s">
        <v>295</v>
      </c>
      <c r="B22" s="28">
        <f>B18/B19</f>
        <v>0.36392750564087634</v>
      </c>
      <c r="C22" s="21"/>
      <c r="D22" s="28">
        <f>D18/D19</f>
        <v>0.3759681179036018</v>
      </c>
      <c r="E22" s="20"/>
    </row>
    <row r="23" spans="1:5" x14ac:dyDescent="0.3">
      <c r="A23" s="15"/>
      <c r="B23" s="15"/>
      <c r="C23" s="15"/>
      <c r="D23" s="15"/>
      <c r="E23" s="15"/>
    </row>
    <row r="24" spans="1:5" x14ac:dyDescent="0.3">
      <c r="A24" s="18" t="s">
        <v>296</v>
      </c>
      <c r="B24" s="15"/>
      <c r="C24" s="15"/>
      <c r="D24" s="15"/>
      <c r="E24" s="15"/>
    </row>
    <row r="25" spans="1:5" ht="30" customHeight="1" x14ac:dyDescent="0.3">
      <c r="A25" s="19" t="s">
        <v>277</v>
      </c>
      <c r="B25" s="19" t="s">
        <v>278</v>
      </c>
      <c r="C25" s="19" t="s">
        <v>279</v>
      </c>
      <c r="D25" s="19" t="s">
        <v>280</v>
      </c>
      <c r="E25" s="19" t="s">
        <v>297</v>
      </c>
    </row>
    <row r="26" spans="1:5" ht="57.6" x14ac:dyDescent="0.3">
      <c r="A26" s="20" t="s">
        <v>298</v>
      </c>
      <c r="B26" s="21">
        <f>SUMIFS(RAB!$I$6:$I$100,RAB!$E$6:$E$100,"Lengkap")+(SUMIFS(RAB!$I$6:$I$100,RAB!$E$6:$E$100,"Lengkap")-SUMIFS(RAB!$I$92:$I$98,RAB!$E$92:$E$98,"Lengkap"))*$B$5</f>
        <v>365000</v>
      </c>
      <c r="C26" s="21">
        <f>SUMIFS(RAB!$K$6:$K$100,RAB!$E$6:$E$100,"Lengkap")</f>
        <v>0</v>
      </c>
      <c r="D26" s="21">
        <f>SUMIFS(RAB!$L$6:$L$100,RAB!$E$6:$E$100,"Lengkap")+(SUMIFS(RAB!$L$6:$L$100,RAB!$E$6:$E$100,"Lengkap")-SUMIFS(RAB!$L$92:$L$98,RAB!$E$92:$E$98,"Lengkap"))*$B$5</f>
        <v>365000</v>
      </c>
      <c r="E26" s="20" t="s">
        <v>299</v>
      </c>
    </row>
    <row r="27" spans="1:5" ht="43.2" x14ac:dyDescent="0.3">
      <c r="A27" s="24" t="s">
        <v>300</v>
      </c>
      <c r="B27" s="25">
        <f>B19+B26</f>
        <v>4486700</v>
      </c>
      <c r="C27" s="25"/>
      <c r="D27" s="25">
        <f>D19+D26</f>
        <v>4354700</v>
      </c>
      <c r="E27" s="24" t="s">
        <v>301</v>
      </c>
    </row>
    <row r="28" spans="1:5" ht="86.4" x14ac:dyDescent="0.3">
      <c r="A28" s="20" t="s">
        <v>302</v>
      </c>
      <c r="B28" s="21">
        <f>SUMIFS(RAB!$I$6:$I$100,RAB!$E$6:$E$100,"Opsional")</f>
        <v>345000</v>
      </c>
      <c r="C28" s="21">
        <f>SUMIFS(RAB!$K$6:$K$100,RAB!$E$6:$E$100,"Opsional")</f>
        <v>0</v>
      </c>
      <c r="D28" s="21">
        <f>SUMIFS(RAB!$L$6:$L$100,RAB!$E$6:$E$100,"Opsional")</f>
        <v>345000</v>
      </c>
      <c r="E28" s="20" t="s">
        <v>303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5"/>
  <sheetViews>
    <sheetView workbookViewId="0"/>
  </sheetViews>
  <sheetFormatPr defaultRowHeight="14.4" x14ac:dyDescent="0.3"/>
  <cols>
    <col min="1" max="1" width="110" customWidth="1"/>
  </cols>
  <sheetData>
    <row r="1" spans="1:1" ht="15.6" x14ac:dyDescent="0.3">
      <c r="A1" s="29" t="s">
        <v>304</v>
      </c>
    </row>
    <row r="2" spans="1:1" x14ac:dyDescent="0.3">
      <c r="A2" s="30" t="s">
        <v>305</v>
      </c>
    </row>
    <row r="3" spans="1:1" x14ac:dyDescent="0.3">
      <c r="A3" s="30" t="s">
        <v>306</v>
      </c>
    </row>
    <row r="4" spans="1:1" x14ac:dyDescent="0.3">
      <c r="A4" s="30" t="s">
        <v>307</v>
      </c>
    </row>
    <row r="5" spans="1:1" x14ac:dyDescent="0.3">
      <c r="A5" s="30" t="s">
        <v>308</v>
      </c>
    </row>
    <row r="6" spans="1:1" x14ac:dyDescent="0.3">
      <c r="A6" s="30" t="s">
        <v>309</v>
      </c>
    </row>
    <row r="7" spans="1:1" x14ac:dyDescent="0.3">
      <c r="A7" s="30" t="s">
        <v>310</v>
      </c>
    </row>
    <row r="8" spans="1:1" ht="28.8" x14ac:dyDescent="0.3">
      <c r="A8" s="30" t="s">
        <v>311</v>
      </c>
    </row>
    <row r="9" spans="1:1" x14ac:dyDescent="0.3">
      <c r="A9" s="30"/>
    </row>
    <row r="10" spans="1:1" ht="15.6" x14ac:dyDescent="0.3">
      <c r="A10" s="29" t="s">
        <v>312</v>
      </c>
    </row>
    <row r="11" spans="1:1" x14ac:dyDescent="0.3">
      <c r="A11" s="30" t="s">
        <v>313</v>
      </c>
    </row>
    <row r="12" spans="1:1" x14ac:dyDescent="0.3">
      <c r="A12" s="30" t="s">
        <v>314</v>
      </c>
    </row>
    <row r="13" spans="1:1" x14ac:dyDescent="0.3">
      <c r="A13" s="30" t="s">
        <v>315</v>
      </c>
    </row>
    <row r="14" spans="1:1" ht="28.8" x14ac:dyDescent="0.3">
      <c r="A14" s="30" t="s">
        <v>316</v>
      </c>
    </row>
    <row r="15" spans="1:1" x14ac:dyDescent="0.3">
      <c r="A15" s="30" t="s">
        <v>317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RAB</vt:lpstr>
      <vt:lpstr>Ringkasan</vt:lpstr>
      <vt:lpstr>Petunjuk</vt:lpstr>
      <vt:lpstr>RAB!Print_Titles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RAB Alat Praktikum Fluida Dinamis Rev. 08</dc:title>
  <dc:creator>Guntur Sulistyo</dc:creator>
  <cp:lastModifiedBy>Guntur Sulistyo</cp:lastModifiedBy>
  <dcterms:created xsi:type="dcterms:W3CDTF">2026-09-27T13:13:11Z</dcterms:created>
  <dcterms:modified xsi:type="dcterms:W3CDTF">2026-09-29T13:09:58Z</dcterms:modified>
</cp:coreProperties>
</file>